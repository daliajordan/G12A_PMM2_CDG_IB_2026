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 1" sheetId="1" state="visible" r:id="rId1"/>
    <sheet xmlns:r="http://schemas.openxmlformats.org/officeDocument/2006/relationships" name="Holiday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6">
    <font>
      <name val="Calibri"/>
      <family val="2"/>
      <color theme="1"/>
      <sz val="11"/>
      <scheme val="minor"/>
    </font>
    <font>
      <b val="1"/>
    </font>
    <font>
      <b val="1"/>
      <sz val="9"/>
    </font>
    <font>
      <sz val="8"/>
    </font>
    <font>
      <b val="1"/>
      <sz val="8"/>
    </font>
    <font>
      <b val="1"/>
      <color rgb="00FFFFFF"/>
      <sz val="8"/>
    </font>
  </fonts>
  <fills count="14">
    <fill>
      <patternFill/>
    </fill>
    <fill>
      <patternFill patternType="gray125"/>
    </fill>
    <fill>
      <patternFill patternType="solid">
        <fgColor rgb="00D9D9D9"/>
      </patternFill>
    </fill>
    <fill>
      <patternFill patternType="solid">
        <fgColor rgb="00404040"/>
      </patternFill>
    </fill>
    <fill>
      <patternFill patternType="solid">
        <fgColor rgb="00E7E6E6"/>
      </patternFill>
    </fill>
    <fill>
      <patternFill patternType="solid">
        <fgColor rgb="00C6E0B4"/>
      </patternFill>
    </fill>
    <fill>
      <patternFill patternType="solid">
        <fgColor rgb="002a78d6"/>
      </patternFill>
    </fill>
    <fill>
      <patternFill patternType="solid">
        <fgColor rgb="00FFE699"/>
      </patternFill>
    </fill>
    <fill>
      <patternFill patternType="solid">
        <fgColor rgb="00F8CBAD"/>
      </patternFill>
    </fill>
    <fill>
      <patternFill patternType="solid">
        <fgColor rgb="00eb6834"/>
      </patternFill>
    </fill>
    <fill>
      <patternFill patternType="solid">
        <fgColor rgb="001baf7a"/>
      </patternFill>
    </fill>
    <fill>
      <patternFill patternType="solid">
        <fgColor rgb="00eda100"/>
      </patternFill>
    </fill>
    <fill>
      <patternFill patternType="solid">
        <fgColor rgb="00e87ba4"/>
      </patternFill>
    </fill>
    <fill>
      <patternFill patternType="solid">
        <fgColor rgb="00BFBFBF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bottom style="thin">
        <color rgb="00BFBFBF"/>
      </bottom>
    </border>
    <border>
      <left style="thick">
        <color rgb="00000000"/>
      </left>
      <right style="thick">
        <color rgb="00000000"/>
      </right>
      <top/>
      <bottom/>
    </border>
    <border>
      <left style="thick">
        <color rgb="00000000"/>
      </left>
      <right style="thick">
        <color rgb="00000000"/>
      </right>
      <top style="thin">
        <color rgb="00BFBFBF"/>
      </top>
      <bottom style="thin">
        <color rgb="00BFBFBF"/>
      </bottom>
    </border>
    <border>
      <left style="thick">
        <color rgb="00000000"/>
      </left>
      <right style="thick">
        <color rgb="00000000"/>
      </right>
      <bottom style="thin">
        <color rgb="00BFBFBF"/>
      </bottom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1" fillId="0" borderId="0" pivotButton="0" quotePrefix="0" xfId="0"/>
    <xf numFmtId="165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2" borderId="0" applyAlignment="1" pivotButton="0" quotePrefix="0" xfId="0">
      <alignment horizontal="center" vertical="center"/>
    </xf>
    <xf numFmtId="0" fontId="0" fillId="0" borderId="3" pivotButton="0" quotePrefix="0" xfId="0"/>
    <xf numFmtId="0" fontId="2" fillId="2" borderId="3" applyAlignment="1" pivotButton="0" quotePrefix="0" xfId="0">
      <alignment horizontal="center" vertical="center"/>
    </xf>
    <xf numFmtId="0" fontId="1" fillId="2" borderId="0" applyAlignment="1" pivotButton="0" quotePrefix="0" xfId="0">
      <alignment vertical="center" wrapText="1"/>
    </xf>
    <xf numFmtId="0" fontId="3" fillId="0" borderId="1" applyAlignment="1" pivotButton="0" quotePrefix="0" xfId="0">
      <alignment horizontal="center" vertical="center" wrapText="1"/>
    </xf>
    <xf numFmtId="0" fontId="5" fillId="3" borderId="4" applyAlignment="1" pivotButton="0" quotePrefix="0" xfId="0">
      <alignment horizontal="center" vertical="center" wrapText="1"/>
    </xf>
    <xf numFmtId="49" fontId="1" fillId="4" borderId="0" pivotButton="0" quotePrefix="0" xfId="0"/>
    <xf numFmtId="0" fontId="1" fillId="4" borderId="0" pivotButton="0" quotePrefix="0" xfId="0"/>
    <xf numFmtId="0" fontId="0" fillId="4" borderId="0" pivotButton="0" quotePrefix="0" xfId="0"/>
    <xf numFmtId="165" fontId="1" fillId="4" borderId="0" pivotButton="0" quotePrefix="0" xfId="0"/>
    <xf numFmtId="0" fontId="0" fillId="4" borderId="3" pivotButton="0" quotePrefix="0" xfId="0"/>
    <xf numFmtId="49" fontId="0" fillId="0" borderId="2" pivotButton="0" quotePrefix="0" xfId="0"/>
    <xf numFmtId="0" fontId="0" fillId="0" borderId="2" pivotButton="0" quotePrefix="0" xfId="0"/>
    <xf numFmtId="165" fontId="0" fillId="0" borderId="2" pivotButton="0" quotePrefix="0" xfId="0"/>
    <xf numFmtId="0" fontId="0" fillId="5" borderId="2" pivotButton="0" quotePrefix="0" xfId="0"/>
    <xf numFmtId="0" fontId="0" fillId="0" borderId="5" pivotButton="0" quotePrefix="0" xfId="0"/>
    <xf numFmtId="0" fontId="0" fillId="0" borderId="2" applyAlignment="1" pivotButton="0" quotePrefix="0" xfId="0">
      <alignment wrapText="1"/>
    </xf>
    <xf numFmtId="0" fontId="0" fillId="6" borderId="2" pivotButton="0" quotePrefix="0" xfId="0"/>
    <xf numFmtId="0" fontId="0" fillId="7" borderId="2" pivotButton="0" quotePrefix="0" xfId="0"/>
    <xf numFmtId="0" fontId="0" fillId="6" borderId="5" pivotButton="0" quotePrefix="0" xfId="0"/>
    <xf numFmtId="0" fontId="0" fillId="8" borderId="2" pivotButton="0" quotePrefix="0" xfId="0"/>
    <xf numFmtId="0" fontId="0" fillId="9" borderId="2" pivotButton="0" quotePrefix="0" xfId="0"/>
    <xf numFmtId="0" fontId="0" fillId="9" borderId="5" pivotButton="0" quotePrefix="0" xfId="0"/>
    <xf numFmtId="0" fontId="0" fillId="2" borderId="2" pivotButton="0" quotePrefix="0" xfId="0"/>
    <xf numFmtId="0" fontId="0" fillId="10" borderId="5" pivotButton="0" quotePrefix="0" xfId="0"/>
    <xf numFmtId="0" fontId="0" fillId="10" borderId="2" pivotButton="0" quotePrefix="0" xfId="0"/>
    <xf numFmtId="0" fontId="0" fillId="11" borderId="2" pivotButton="0" quotePrefix="0" xfId="0"/>
    <xf numFmtId="0" fontId="0" fillId="11" borderId="5" pivotButton="0" quotePrefix="0" xfId="0"/>
    <xf numFmtId="0" fontId="0" fillId="12" borderId="2" pivotButton="0" quotePrefix="0" xfId="0"/>
    <xf numFmtId="0" fontId="1" fillId="13" borderId="0" pivotButton="0" quotePrefix="0" xfId="0"/>
    <xf numFmtId="0" fontId="0" fillId="13" borderId="0" pivotButton="0" quotePrefix="0" xfId="0"/>
    <xf numFmtId="165" fontId="1" fillId="13" borderId="0" pivotButton="0" quotePrefix="0" xfId="0"/>
    <xf numFmtId="0" fontId="0" fillId="13" borderId="3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AI46"/>
  <sheetViews>
    <sheetView workbookViewId="0">
      <pane xSplit="9" ySplit="6" topLeftCell="J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38" customWidth="1" min="2" max="2"/>
    <col width="14" customWidth="1" min="3" max="3"/>
    <col width="12" customWidth="1" min="4" max="4"/>
    <col width="12" customWidth="1" min="5" max="5"/>
    <col width="12" customWidth="1" min="6" max="6"/>
    <col width="12" customWidth="1" min="7" max="7"/>
    <col width="10" customWidth="1" min="8" max="8"/>
    <col width="12" customWidth="1" min="9" max="9"/>
    <col width="4.4" customWidth="1" min="10" max="10"/>
    <col width="4.4" customWidth="1" min="11" max="11"/>
    <col width="4.4" customWidth="1" min="12" max="12"/>
    <col width="4.4" customWidth="1" min="13" max="13"/>
    <col width="4.4" customWidth="1" min="14" max="14"/>
    <col width="4.4" customWidth="1" min="15" max="15"/>
    <col width="4.4" customWidth="1" min="16" max="16"/>
    <col width="4.4" customWidth="1" min="17" max="17"/>
    <col width="4.4" customWidth="1" min="18" max="18"/>
    <col width="4.4" customWidth="1" min="19" max="19"/>
    <col width="4.4" customWidth="1" min="20" max="20"/>
    <col width="4.4" customWidth="1" min="21" max="21"/>
    <col width="4.4" customWidth="1" min="22" max="22"/>
    <col width="4.4" customWidth="1" min="23" max="23"/>
    <col width="4.4" customWidth="1" min="24" max="24"/>
    <col width="4.4" customWidth="1" min="25" max="25"/>
    <col width="4.4" customWidth="1" min="26" max="26"/>
    <col width="4.4" customWidth="1" min="27" max="27"/>
    <col width="4.4" customWidth="1" min="28" max="28"/>
    <col width="4.4" customWidth="1" min="29" max="29"/>
    <col width="4.4" customWidth="1" min="30" max="30"/>
    <col width="4.4" customWidth="1" min="31" max="31"/>
    <col width="4.4" customWidth="1" min="32" max="32"/>
    <col width="4.4" customWidth="1" min="33" max="33"/>
    <col width="4.4" customWidth="1" min="34" max="34"/>
    <col width="42" customWidth="1" min="35" max="35"/>
  </cols>
  <sheetData>
    <row r="2">
      <c r="B2" s="1" t="inlineStr">
        <is>
          <t>PROJECT TITLE</t>
        </is>
      </c>
      <c r="C2" t="inlineStr">
        <is>
          <t>Analysis of the effect of PMM2 variants on PMM2-CDG</t>
        </is>
      </c>
      <c r="I2" s="1" t="inlineStr">
        <is>
          <t>COMPANY NAME</t>
        </is>
      </c>
      <c r="K2" t="inlineStr">
        <is>
          <t>UPC</t>
        </is>
      </c>
    </row>
    <row r="3">
      <c r="B3" s="1" t="inlineStr">
        <is>
          <t>PROJECT MEMBERS</t>
        </is>
      </c>
      <c r="C3" t="inlineStr">
        <is>
          <t>Adriana Dotsenko, Dàlia Jordan, Salomé Murillo, Elsa Rosado i Noah Quixal</t>
        </is>
      </c>
      <c r="I3" s="1" t="inlineStr">
        <is>
          <t>DATE</t>
        </is>
      </c>
      <c r="K3" s="2" t="n">
        <v>46303</v>
      </c>
    </row>
    <row r="5" ht="16" customHeight="1">
      <c r="A5" s="3" t="inlineStr">
        <is>
          <t>ID</t>
        </is>
      </c>
      <c r="B5" s="3" t="inlineStr">
        <is>
          <t>TASK TITLE</t>
        </is>
      </c>
      <c r="C5" s="3" t="inlineStr">
        <is>
          <t>TASK OWNER</t>
        </is>
      </c>
      <c r="D5" s="3" t="inlineStr">
        <is>
          <t>PLANNED START DATE</t>
        </is>
      </c>
      <c r="E5" s="3" t="inlineStr">
        <is>
          <t>PLANNED END DATE</t>
        </is>
      </c>
      <c r="F5" s="3" t="inlineStr">
        <is>
          <t>REAL START DATE</t>
        </is>
      </c>
      <c r="G5" s="3" t="inlineStr">
        <is>
          <t>REAL END DATE</t>
        </is>
      </c>
      <c r="H5" s="3" t="inlineStr">
        <is>
          <t>DURATION (working days)</t>
        </is>
      </c>
      <c r="I5" s="3" t="inlineStr">
        <is>
          <t>STATUS OF THE TASK</t>
        </is>
      </c>
      <c r="J5" s="4" t="inlineStr">
        <is>
          <t>W40</t>
        </is>
      </c>
      <c r="L5" s="4" t="inlineStr">
        <is>
          <t>W41</t>
        </is>
      </c>
      <c r="M5" s="5" t="n"/>
      <c r="P5" s="5" t="n"/>
      <c r="Q5" s="6" t="inlineStr">
        <is>
          <t>W42</t>
        </is>
      </c>
      <c r="U5" s="6" t="inlineStr">
        <is>
          <t>W43</t>
        </is>
      </c>
      <c r="X5" s="5" t="n"/>
      <c r="Z5" s="6" t="inlineStr">
        <is>
          <t>W44</t>
        </is>
      </c>
      <c r="AE5" s="4" t="inlineStr">
        <is>
          <t>W45</t>
        </is>
      </c>
      <c r="AI5" s="7" t="inlineStr">
        <is>
          <t>OUTPUT / ACCOMPLISHED WHEN</t>
        </is>
      </c>
    </row>
    <row r="6" ht="26" customHeight="1">
      <c r="J6" s="8" t="inlineStr">
        <is>
          <t>01/10
T</t>
        </is>
      </c>
      <c r="K6" s="8" t="inlineStr">
        <is>
          <t>02/10
F</t>
        </is>
      </c>
      <c r="L6" s="8" t="inlineStr">
        <is>
          <t>05/10
M</t>
        </is>
      </c>
      <c r="M6" s="9" t="inlineStr">
        <is>
          <t>06/10
T</t>
        </is>
      </c>
      <c r="N6" s="8" t="inlineStr">
        <is>
          <t>07/10
W</t>
        </is>
      </c>
      <c r="O6" s="8" t="inlineStr">
        <is>
          <t>08/10
T</t>
        </is>
      </c>
      <c r="P6" s="9" t="inlineStr">
        <is>
          <t>09/10
F</t>
        </is>
      </c>
      <c r="Q6" s="9" t="inlineStr">
        <is>
          <t>13/10
T</t>
        </is>
      </c>
      <c r="R6" s="8" t="inlineStr">
        <is>
          <t>14/10
W</t>
        </is>
      </c>
      <c r="S6" s="8" t="inlineStr">
        <is>
          <t>15/10
T</t>
        </is>
      </c>
      <c r="T6" s="8" t="inlineStr">
        <is>
          <t>16/10
F</t>
        </is>
      </c>
      <c r="U6" s="9" t="inlineStr">
        <is>
          <t>19/10
M</t>
        </is>
      </c>
      <c r="V6" s="8" t="inlineStr">
        <is>
          <t>20/10
T</t>
        </is>
      </c>
      <c r="W6" s="8" t="inlineStr">
        <is>
          <t>21/10
W</t>
        </is>
      </c>
      <c r="X6" s="9" t="inlineStr">
        <is>
          <t>22/10
T</t>
        </is>
      </c>
      <c r="Y6" s="8" t="inlineStr">
        <is>
          <t>23/10
F</t>
        </is>
      </c>
      <c r="Z6" s="9" t="inlineStr">
        <is>
          <t>26/10
M</t>
        </is>
      </c>
      <c r="AA6" s="8" t="inlineStr">
        <is>
          <t>27/10
T</t>
        </is>
      </c>
      <c r="AB6" s="8" t="inlineStr">
        <is>
          <t>28/10
W</t>
        </is>
      </c>
      <c r="AC6" s="8" t="inlineStr">
        <is>
          <t>29/10
T</t>
        </is>
      </c>
      <c r="AD6" s="8" t="inlineStr">
        <is>
          <t>30/10
F</t>
        </is>
      </c>
      <c r="AE6" s="8" t="inlineStr">
        <is>
          <t>02/11
M</t>
        </is>
      </c>
      <c r="AF6" s="8" t="inlineStr">
        <is>
          <t>03/11
T</t>
        </is>
      </c>
      <c r="AG6" s="8" t="inlineStr">
        <is>
          <t>04/11
W</t>
        </is>
      </c>
      <c r="AH6" s="8" t="inlineStr">
        <is>
          <t>05/11
T</t>
        </is>
      </c>
    </row>
    <row r="7">
      <c r="A7" s="10" t="inlineStr">
        <is>
          <t>WP1</t>
        </is>
      </c>
      <c r="B7" s="11" t="inlineStr">
        <is>
          <t>Planning and setup</t>
        </is>
      </c>
      <c r="C7" s="12" t="n"/>
      <c r="D7" s="13" t="n">
        <v>46282</v>
      </c>
      <c r="E7" s="13" t="n">
        <v>46304</v>
      </c>
      <c r="F7" s="12" t="n"/>
      <c r="G7" s="12" t="n"/>
      <c r="H7" s="11">
        <f>NETWORKDAYS(D7,E7,Holidays!$A$2:$A$1000)</f>
        <v/>
      </c>
      <c r="I7" s="12" t="n"/>
      <c r="J7" s="12" t="n"/>
      <c r="K7" s="12" t="n"/>
      <c r="L7" s="12" t="n"/>
      <c r="M7" s="14" t="n"/>
      <c r="N7" s="12" t="n"/>
      <c r="O7" s="12" t="n"/>
      <c r="P7" s="14" t="n"/>
      <c r="Q7" s="14" t="n"/>
      <c r="R7" s="12" t="n"/>
      <c r="S7" s="12" t="n"/>
      <c r="T7" s="12" t="n"/>
      <c r="U7" s="14" t="n"/>
      <c r="V7" s="12" t="n"/>
      <c r="W7" s="12" t="n"/>
      <c r="X7" s="14" t="n"/>
      <c r="Y7" s="12" t="n"/>
      <c r="Z7" s="14" t="n"/>
      <c r="AA7" s="12" t="n"/>
      <c r="AB7" s="12" t="n"/>
      <c r="AC7" s="12" t="n"/>
      <c r="AD7" s="12" t="n"/>
      <c r="AE7" s="12" t="n"/>
      <c r="AF7" s="12" t="n"/>
      <c r="AG7" s="12" t="n"/>
      <c r="AH7" s="12" t="n"/>
      <c r="AI7" s="12" t="n"/>
    </row>
    <row r="8">
      <c r="A8" s="15" t="inlineStr">
        <is>
          <t>1.1</t>
        </is>
      </c>
      <c r="B8" s="16" t="inlineStr">
        <is>
          <t>Create the GitHub repository</t>
        </is>
      </c>
      <c r="C8" s="16" t="inlineStr">
        <is>
          <t>Dàlia + Salomé</t>
        </is>
      </c>
      <c r="D8" s="17" t="n">
        <v>46282</v>
      </c>
      <c r="E8" s="17" t="n">
        <v>46282</v>
      </c>
      <c r="F8" s="17" t="n">
        <v>46282</v>
      </c>
      <c r="G8" s="17" t="n">
        <v>46282</v>
      </c>
      <c r="H8" s="16">
        <f>NETWORKDAYS(D8,E8,Holidays!$A$2:$A$1000)</f>
        <v/>
      </c>
      <c r="I8" s="18" t="inlineStr">
        <is>
          <t>Completed</t>
        </is>
      </c>
      <c r="J8" s="16" t="n"/>
      <c r="K8" s="16" t="n"/>
      <c r="L8" s="16" t="n"/>
      <c r="M8" s="19" t="n"/>
      <c r="N8" s="16" t="n"/>
      <c r="O8" s="16" t="n"/>
      <c r="P8" s="19" t="n"/>
      <c r="Q8" s="19" t="n"/>
      <c r="R8" s="16" t="n"/>
      <c r="S8" s="16" t="n"/>
      <c r="T8" s="16" t="n"/>
      <c r="U8" s="19" t="n"/>
      <c r="V8" s="16" t="n"/>
      <c r="W8" s="16" t="n"/>
      <c r="X8" s="19" t="n"/>
      <c r="Y8" s="16" t="n"/>
      <c r="Z8" s="19" t="n"/>
      <c r="AA8" s="16" t="n"/>
      <c r="AB8" s="16" t="n"/>
      <c r="AC8" s="16" t="n"/>
      <c r="AD8" s="16" t="n"/>
      <c r="AE8" s="16" t="n"/>
      <c r="AF8" s="16" t="n"/>
      <c r="AG8" s="16" t="n"/>
      <c r="AH8" s="16" t="n"/>
      <c r="AI8" s="20" t="inlineStr">
        <is>
          <t>Output: Repository with folders, README and .gitignore (before grid: 17/09 is earlier than the 01/10 grid start)</t>
        </is>
      </c>
    </row>
    <row r="9">
      <c r="A9" s="15" t="inlineStr">
        <is>
          <t>1.2</t>
        </is>
      </c>
      <c r="B9" s="16" t="inlineStr">
        <is>
          <t>Kick-off meeting</t>
        </is>
      </c>
      <c r="C9" s="16" t="inlineStr">
        <is>
          <t>All</t>
        </is>
      </c>
      <c r="D9" s="17" t="n">
        <v>46296</v>
      </c>
      <c r="E9" s="17" t="n">
        <v>46296</v>
      </c>
      <c r="F9" s="17" t="n">
        <v>46296</v>
      </c>
      <c r="G9" s="17" t="n">
        <v>46296</v>
      </c>
      <c r="H9" s="16">
        <f>NETWORKDAYS(D9,E9,Holidays!$A$2:$A$1000)</f>
        <v/>
      </c>
      <c r="I9" s="18" t="inlineStr">
        <is>
          <t>Completed</t>
        </is>
      </c>
      <c r="J9" s="21" t="n"/>
      <c r="K9" s="16" t="n"/>
      <c r="L9" s="16" t="n"/>
      <c r="M9" s="19" t="n"/>
      <c r="N9" s="16" t="n"/>
      <c r="O9" s="16" t="n"/>
      <c r="P9" s="19" t="n"/>
      <c r="Q9" s="19" t="n"/>
      <c r="R9" s="16" t="n"/>
      <c r="S9" s="16" t="n"/>
      <c r="T9" s="16" t="n"/>
      <c r="U9" s="19" t="n"/>
      <c r="V9" s="16" t="n"/>
      <c r="W9" s="16" t="n"/>
      <c r="X9" s="19" t="n"/>
      <c r="Y9" s="16" t="n"/>
      <c r="Z9" s="19" t="n"/>
      <c r="AA9" s="16" t="n"/>
      <c r="AB9" s="16" t="n"/>
      <c r="AC9" s="16" t="n"/>
      <c r="AD9" s="16" t="n"/>
      <c r="AE9" s="16" t="n"/>
      <c r="AF9" s="16" t="n"/>
      <c r="AG9" s="16" t="n"/>
      <c r="AH9" s="16" t="n"/>
      <c r="AI9" s="20" t="inlineStr">
        <is>
          <t>Output: Organisation and brainstorming</t>
        </is>
      </c>
    </row>
    <row r="10">
      <c r="A10" s="15" t="inlineStr">
        <is>
          <t>1.3</t>
        </is>
      </c>
      <c r="B10" s="16" t="inlineStr">
        <is>
          <t>Build the Gantt chart</t>
        </is>
      </c>
      <c r="C10" s="16" t="inlineStr">
        <is>
          <t>Dàlia + Noah</t>
        </is>
      </c>
      <c r="D10" s="17" t="n">
        <v>46296</v>
      </c>
      <c r="E10" s="17" t="n">
        <v>46297</v>
      </c>
      <c r="F10" s="17" t="n">
        <v>46296</v>
      </c>
      <c r="G10" s="17" t="n">
        <v>46297</v>
      </c>
      <c r="H10" s="16">
        <f>NETWORKDAYS(D10,E10,Holidays!$A$2:$A$1000)</f>
        <v/>
      </c>
      <c r="I10" s="18" t="inlineStr">
        <is>
          <t>Completed</t>
        </is>
      </c>
      <c r="J10" s="21" t="n"/>
      <c r="K10" s="21" t="n"/>
      <c r="L10" s="16" t="n"/>
      <c r="M10" s="19" t="n"/>
      <c r="N10" s="16" t="n"/>
      <c r="O10" s="16" t="n"/>
      <c r="P10" s="19" t="n"/>
      <c r="Q10" s="19" t="n"/>
      <c r="R10" s="16" t="n"/>
      <c r="S10" s="16" t="n"/>
      <c r="T10" s="16" t="n"/>
      <c r="U10" s="19" t="n"/>
      <c r="V10" s="16" t="n"/>
      <c r="W10" s="16" t="n"/>
      <c r="X10" s="19" t="n"/>
      <c r="Y10" s="16" t="n"/>
      <c r="Z10" s="19" t="n"/>
      <c r="AA10" s="16" t="n"/>
      <c r="AB10" s="16" t="n"/>
      <c r="AC10" s="16" t="n"/>
      <c r="AD10" s="16" t="n"/>
      <c r="AE10" s="16" t="n"/>
      <c r="AF10" s="16" t="n"/>
      <c r="AG10" s="16" t="n"/>
      <c r="AH10" s="16" t="n"/>
      <c r="AI10" s="20" t="inlineStr">
        <is>
          <t>Output: Complete Gantt chart</t>
        </is>
      </c>
    </row>
    <row r="11">
      <c r="A11" s="15" t="inlineStr">
        <is>
          <t>1.4</t>
        </is>
      </c>
      <c r="B11" s="16" t="inlineStr">
        <is>
          <t>Define objectives and team</t>
        </is>
      </c>
      <c r="C11" s="16" t="inlineStr">
        <is>
          <t>Adriana</t>
        </is>
      </c>
      <c r="D11" s="17" t="n">
        <v>46297</v>
      </c>
      <c r="E11" s="17" t="n">
        <v>46300</v>
      </c>
      <c r="F11" s="17" t="n">
        <v>46297</v>
      </c>
      <c r="G11" s="17" t="n">
        <v>46300</v>
      </c>
      <c r="H11" s="16">
        <f>NETWORKDAYS(D11,E11,Holidays!$A$2:$A$1000)</f>
        <v/>
      </c>
      <c r="I11" s="18" t="inlineStr">
        <is>
          <t>Completed</t>
        </is>
      </c>
      <c r="J11" s="16" t="n"/>
      <c r="K11" s="21" t="n"/>
      <c r="L11" s="21" t="n"/>
      <c r="M11" s="19" t="n"/>
      <c r="N11" s="16" t="n"/>
      <c r="O11" s="16" t="n"/>
      <c r="P11" s="19" t="n"/>
      <c r="Q11" s="19" t="n"/>
      <c r="R11" s="16" t="n"/>
      <c r="S11" s="16" t="n"/>
      <c r="T11" s="16" t="n"/>
      <c r="U11" s="19" t="n"/>
      <c r="V11" s="16" t="n"/>
      <c r="W11" s="16" t="n"/>
      <c r="X11" s="19" t="n"/>
      <c r="Y11" s="16" t="n"/>
      <c r="Z11" s="19" t="n"/>
      <c r="AA11" s="16" t="n"/>
      <c r="AB11" s="16" t="n"/>
      <c r="AC11" s="16" t="n"/>
      <c r="AD11" s="16" t="n"/>
      <c r="AE11" s="16" t="n"/>
      <c r="AF11" s="16" t="n"/>
      <c r="AG11" s="16" t="n"/>
      <c r="AH11" s="16" t="n"/>
      <c r="AI11" s="20" t="inlineStr">
        <is>
          <t>Output: Objectives, roles and background written in the README</t>
        </is>
      </c>
    </row>
    <row r="12">
      <c r="A12" s="15" t="inlineStr">
        <is>
          <t>1.5</t>
        </is>
      </c>
      <c r="B12" s="16" t="inlineStr">
        <is>
          <t>Risk analysis</t>
        </is>
      </c>
      <c r="C12" s="16" t="inlineStr">
        <is>
          <t>Elsa</t>
        </is>
      </c>
      <c r="D12" s="17" t="n">
        <v>46297</v>
      </c>
      <c r="E12" s="17" t="n">
        <v>46300</v>
      </c>
      <c r="F12" s="17" t="n">
        <v>46300</v>
      </c>
      <c r="G12" s="17" t="n">
        <v>46300</v>
      </c>
      <c r="H12" s="16">
        <f>NETWORKDAYS(D12,E12,Holidays!$A$2:$A$1000)</f>
        <v/>
      </c>
      <c r="I12" s="18" t="inlineStr">
        <is>
          <t>Completed</t>
        </is>
      </c>
      <c r="J12" s="16" t="n"/>
      <c r="K12" s="21" t="n"/>
      <c r="L12" s="21" t="n"/>
      <c r="M12" s="19" t="n"/>
      <c r="N12" s="16" t="n"/>
      <c r="O12" s="16" t="n"/>
      <c r="P12" s="19" t="n"/>
      <c r="Q12" s="19" t="n"/>
      <c r="R12" s="16" t="n"/>
      <c r="S12" s="16" t="n"/>
      <c r="T12" s="16" t="n"/>
      <c r="U12" s="19" t="n"/>
      <c r="V12" s="16" t="n"/>
      <c r="W12" s="16" t="n"/>
      <c r="X12" s="19" t="n"/>
      <c r="Y12" s="16" t="n"/>
      <c r="Z12" s="19" t="n"/>
      <c r="AA12" s="16" t="n"/>
      <c r="AB12" s="16" t="n"/>
      <c r="AC12" s="16" t="n"/>
      <c r="AD12" s="16" t="n"/>
      <c r="AE12" s="16" t="n"/>
      <c r="AF12" s="16" t="n"/>
      <c r="AG12" s="16" t="n"/>
      <c r="AH12" s="16" t="n"/>
      <c r="AI12" s="20" t="inlineStr">
        <is>
          <t>Output: Risk matrix and risk statements</t>
        </is>
      </c>
    </row>
    <row r="13">
      <c r="A13" s="15" t="inlineStr">
        <is>
          <t>1.6</t>
        </is>
      </c>
      <c r="B13" s="16" t="inlineStr">
        <is>
          <t>Status tracking document / upload the Gantt to Git</t>
        </is>
      </c>
      <c r="C13" s="16" t="inlineStr">
        <is>
          <t>Dàlia + Noah</t>
        </is>
      </c>
      <c r="D13" s="17" t="n">
        <v>46303</v>
      </c>
      <c r="E13" s="17" t="n">
        <v>46304</v>
      </c>
      <c r="F13" s="17" t="n">
        <v>46303</v>
      </c>
      <c r="G13" s="16" t="n"/>
      <c r="H13" s="16">
        <f>NETWORKDAYS(D13,E13,Holidays!$A$2:$A$1000)</f>
        <v/>
      </c>
      <c r="I13" s="22" t="inlineStr">
        <is>
          <t>In progress</t>
        </is>
      </c>
      <c r="J13" s="16" t="n"/>
      <c r="K13" s="16" t="n"/>
      <c r="L13" s="16" t="n"/>
      <c r="M13" s="19" t="n"/>
      <c r="N13" s="16" t="n"/>
      <c r="O13" s="21" t="n"/>
      <c r="P13" s="23" t="n"/>
      <c r="Q13" s="19" t="n"/>
      <c r="R13" s="16" t="n"/>
      <c r="S13" s="16" t="n"/>
      <c r="T13" s="16" t="n"/>
      <c r="U13" s="19" t="n"/>
      <c r="V13" s="16" t="n"/>
      <c r="W13" s="16" t="n"/>
      <c r="X13" s="19" t="n"/>
      <c r="Y13" s="16" t="n"/>
      <c r="Z13" s="19" t="n"/>
      <c r="AA13" s="16" t="n"/>
      <c r="AB13" s="16" t="n"/>
      <c r="AC13" s="16" t="n"/>
      <c r="AD13" s="16" t="n"/>
      <c r="AE13" s="16" t="n"/>
      <c r="AF13" s="16" t="n"/>
      <c r="AG13" s="16" t="n"/>
      <c r="AH13" s="16" t="n"/>
      <c r="AI13" s="20" t="inlineStr">
        <is>
          <t>Output: Table in status/</t>
        </is>
      </c>
    </row>
    <row r="14">
      <c r="A14" s="15" t="inlineStr">
        <is>
          <t>1.7</t>
        </is>
      </c>
      <c r="B14" s="16" t="inlineStr">
        <is>
          <t>Review and submission</t>
        </is>
      </c>
      <c r="C14" s="16" t="inlineStr">
        <is>
          <t>Dàlia</t>
        </is>
      </c>
      <c r="D14" s="17" t="n">
        <v>46303</v>
      </c>
      <c r="E14" s="17" t="n">
        <v>46304</v>
      </c>
      <c r="F14" s="16" t="n"/>
      <c r="G14" s="16" t="n"/>
      <c r="H14" s="16">
        <f>NETWORKDAYS(D14,E14,Holidays!$A$2:$A$1000)</f>
        <v/>
      </c>
      <c r="I14" s="24" t="inlineStr">
        <is>
          <t>Pending</t>
        </is>
      </c>
      <c r="J14" s="16" t="n"/>
      <c r="K14" s="16" t="n"/>
      <c r="L14" s="16" t="n"/>
      <c r="M14" s="19" t="n"/>
      <c r="N14" s="16" t="n"/>
      <c r="O14" s="21" t="n"/>
      <c r="P14" s="23" t="n"/>
      <c r="Q14" s="19" t="n"/>
      <c r="R14" s="16" t="n"/>
      <c r="S14" s="16" t="n"/>
      <c r="T14" s="16" t="n"/>
      <c r="U14" s="19" t="n"/>
      <c r="V14" s="16" t="n"/>
      <c r="W14" s="16" t="n"/>
      <c r="X14" s="19" t="n"/>
      <c r="Y14" s="16" t="n"/>
      <c r="Z14" s="19" t="n"/>
      <c r="AA14" s="16" t="n"/>
      <c r="AB14" s="16" t="n"/>
      <c r="AC14" s="16" t="n"/>
      <c r="AD14" s="16" t="n"/>
      <c r="AE14" s="16" t="n"/>
      <c r="AF14" s="16" t="n"/>
      <c r="AG14" s="16" t="n"/>
      <c r="AH14" s="16" t="n"/>
      <c r="AI14" s="20" t="inlineStr">
        <is>
          <t>Output: Upload to Moodle and update the Gantt</t>
        </is>
      </c>
    </row>
    <row r="15">
      <c r="A15" s="10" t="inlineStr">
        <is>
          <t>WP2</t>
        </is>
      </c>
      <c r="B15" s="11" t="inlineStr">
        <is>
          <t>Information gathering</t>
        </is>
      </c>
      <c r="C15" s="12" t="n"/>
      <c r="D15" s="13" t="n">
        <v>46296</v>
      </c>
      <c r="E15" s="13" t="n">
        <v>46317</v>
      </c>
      <c r="F15" s="12" t="n"/>
      <c r="G15" s="12" t="n"/>
      <c r="H15" s="11">
        <f>NETWORKDAYS(D15,E15,Holidays!$A$2:$A$1000)</f>
        <v/>
      </c>
      <c r="I15" s="12" t="n"/>
      <c r="J15" s="12" t="n"/>
      <c r="K15" s="12" t="n"/>
      <c r="L15" s="12" t="n"/>
      <c r="M15" s="14" t="n"/>
      <c r="N15" s="12" t="n"/>
      <c r="O15" s="12" t="n"/>
      <c r="P15" s="14" t="n"/>
      <c r="Q15" s="14" t="n"/>
      <c r="R15" s="12" t="n"/>
      <c r="S15" s="12" t="n"/>
      <c r="T15" s="12" t="n"/>
      <c r="U15" s="14" t="n"/>
      <c r="V15" s="12" t="n"/>
      <c r="W15" s="12" t="n"/>
      <c r="X15" s="14" t="n"/>
      <c r="Y15" s="12" t="n"/>
      <c r="Z15" s="14" t="n"/>
      <c r="AA15" s="12" t="n"/>
      <c r="AB15" s="12" t="n"/>
      <c r="AC15" s="12" t="n"/>
      <c r="AD15" s="12" t="n"/>
      <c r="AE15" s="12" t="n"/>
      <c r="AF15" s="12" t="n"/>
      <c r="AG15" s="12" t="n"/>
      <c r="AH15" s="12" t="n"/>
      <c r="AI15" s="12" t="n"/>
    </row>
    <row r="16">
      <c r="A16" s="15" t="inlineStr">
        <is>
          <t>2.1</t>
        </is>
      </c>
      <c r="B16" s="16" t="inlineStr">
        <is>
          <t>Search for reviews</t>
        </is>
      </c>
      <c r="C16" s="16" t="inlineStr">
        <is>
          <t>Salomé</t>
        </is>
      </c>
      <c r="D16" s="17" t="n">
        <v>46296</v>
      </c>
      <c r="E16" s="17" t="n">
        <v>46300</v>
      </c>
      <c r="F16" s="17" t="n">
        <v>46297</v>
      </c>
      <c r="G16" s="17" t="n">
        <v>46301</v>
      </c>
      <c r="H16" s="16">
        <f>NETWORKDAYS(D16,E16,Holidays!$A$2:$A$1000)</f>
        <v/>
      </c>
      <c r="I16" s="18" t="inlineStr">
        <is>
          <t>Completed</t>
        </is>
      </c>
      <c r="J16" s="25" t="n"/>
      <c r="K16" s="25" t="n"/>
      <c r="L16" s="25" t="n"/>
      <c r="M16" s="19" t="n"/>
      <c r="N16" s="16" t="n"/>
      <c r="O16" s="16" t="n"/>
      <c r="P16" s="19" t="n"/>
      <c r="Q16" s="19" t="n"/>
      <c r="R16" s="16" t="n"/>
      <c r="S16" s="16" t="n"/>
      <c r="T16" s="16" t="n"/>
      <c r="U16" s="19" t="n"/>
      <c r="V16" s="16" t="n"/>
      <c r="W16" s="16" t="n"/>
      <c r="X16" s="19" t="n"/>
      <c r="Y16" s="16" t="n"/>
      <c r="Z16" s="19" t="n"/>
      <c r="AA16" s="16" t="n"/>
      <c r="AB16" s="16" t="n"/>
      <c r="AC16" s="16" t="n"/>
      <c r="AD16" s="16" t="n"/>
      <c r="AE16" s="16" t="n"/>
      <c r="AF16" s="16" t="n"/>
      <c r="AG16" s="16" t="n"/>
      <c r="AH16" s="16" t="n"/>
      <c r="AI16" s="20" t="inlineStr">
        <is>
          <t>Output: At least 3 reviews</t>
        </is>
      </c>
    </row>
    <row r="17">
      <c r="A17" s="15" t="inlineStr">
        <is>
          <t>2.2</t>
        </is>
      </c>
      <c r="B17" s="16" t="inlineStr">
        <is>
          <t>Search for original papers on the mechanism</t>
        </is>
      </c>
      <c r="C17" s="16" t="inlineStr">
        <is>
          <t>Salomé</t>
        </is>
      </c>
      <c r="D17" s="17" t="n">
        <v>46296</v>
      </c>
      <c r="E17" s="17" t="n">
        <v>46301</v>
      </c>
      <c r="F17" s="17" t="n">
        <v>46300</v>
      </c>
      <c r="G17" s="17" t="n">
        <v>46301</v>
      </c>
      <c r="H17" s="16">
        <f>NETWORKDAYS(D17,E17,Holidays!$A$2:$A$1000)</f>
        <v/>
      </c>
      <c r="I17" s="18" t="inlineStr">
        <is>
          <t>Completed</t>
        </is>
      </c>
      <c r="J17" s="25" t="n"/>
      <c r="K17" s="25" t="n"/>
      <c r="L17" s="25" t="n"/>
      <c r="M17" s="26" t="n"/>
      <c r="N17" s="16" t="n"/>
      <c r="O17" s="16" t="n"/>
      <c r="P17" s="19" t="n"/>
      <c r="Q17" s="19" t="n"/>
      <c r="R17" s="16" t="n"/>
      <c r="S17" s="16" t="n"/>
      <c r="T17" s="16" t="n"/>
      <c r="U17" s="19" t="n"/>
      <c r="V17" s="16" t="n"/>
      <c r="W17" s="16" t="n"/>
      <c r="X17" s="19" t="n"/>
      <c r="Y17" s="16" t="n"/>
      <c r="Z17" s="19" t="n"/>
      <c r="AA17" s="16" t="n"/>
      <c r="AB17" s="16" t="n"/>
      <c r="AC17" s="16" t="n"/>
      <c r="AD17" s="16" t="n"/>
      <c r="AE17" s="16" t="n"/>
      <c r="AF17" s="16" t="n"/>
      <c r="AG17" s="16" t="n"/>
      <c r="AH17" s="16" t="n"/>
      <c r="AI17" s="20" t="inlineStr">
        <is>
          <t>Output: At least 5 papers</t>
        </is>
      </c>
    </row>
    <row r="18">
      <c r="A18" s="15" t="inlineStr">
        <is>
          <t>2.3</t>
        </is>
      </c>
      <c r="B18" s="16" t="inlineStr">
        <is>
          <t>OMIM: gene-disease relationship</t>
        </is>
      </c>
      <c r="C18" s="16" t="inlineStr">
        <is>
          <t>Adriana</t>
        </is>
      </c>
      <c r="D18" s="17" t="n">
        <v>46301</v>
      </c>
      <c r="E18" s="17" t="n">
        <v>46308</v>
      </c>
      <c r="F18" s="16" t="n"/>
      <c r="G18" s="16" t="n"/>
      <c r="H18" s="16">
        <f>NETWORKDAYS(D18,E18,Holidays!$A$2:$A$1000)</f>
        <v/>
      </c>
      <c r="I18" s="24" t="inlineStr">
        <is>
          <t>Pending</t>
        </is>
      </c>
      <c r="J18" s="16" t="n"/>
      <c r="K18" s="16" t="n"/>
      <c r="L18" s="16" t="n"/>
      <c r="M18" s="26" t="n"/>
      <c r="N18" s="25" t="n"/>
      <c r="O18" s="25" t="n"/>
      <c r="P18" s="26" t="n"/>
      <c r="Q18" s="26" t="n"/>
      <c r="R18" s="16" t="n"/>
      <c r="S18" s="16" t="n"/>
      <c r="T18" s="16" t="n"/>
      <c r="U18" s="19" t="n"/>
      <c r="V18" s="16" t="n"/>
      <c r="W18" s="16" t="n"/>
      <c r="X18" s="19" t="n"/>
      <c r="Y18" s="16" t="n"/>
      <c r="Z18" s="19" t="n"/>
      <c r="AA18" s="16" t="n"/>
      <c r="AB18" s="16" t="n"/>
      <c r="AC18" s="16" t="n"/>
      <c r="AD18" s="16" t="n"/>
      <c r="AE18" s="16" t="n"/>
      <c r="AF18" s="16" t="n"/>
      <c r="AG18" s="16" t="n"/>
      <c r="AH18" s="16" t="n"/>
      <c r="AI18" s="20" t="inlineStr">
        <is>
          <t>Output: Notes on the gene and the phenotype</t>
        </is>
      </c>
    </row>
    <row r="19">
      <c r="A19" s="15" t="inlineStr">
        <is>
          <t>2.4</t>
        </is>
      </c>
      <c r="B19" s="16" t="inlineStr">
        <is>
          <t>UniProt and choice of 2 species</t>
        </is>
      </c>
      <c r="C19" s="16" t="inlineStr">
        <is>
          <t>Adriana</t>
        </is>
      </c>
      <c r="D19" s="17" t="n">
        <v>46301</v>
      </c>
      <c r="E19" s="17" t="n">
        <v>46308</v>
      </c>
      <c r="F19" s="16" t="n"/>
      <c r="G19" s="16" t="n"/>
      <c r="H19" s="16">
        <f>NETWORKDAYS(D19,E19,Holidays!$A$2:$A$1000)</f>
        <v/>
      </c>
      <c r="I19" s="24" t="inlineStr">
        <is>
          <t>Pending</t>
        </is>
      </c>
      <c r="J19" s="16" t="n"/>
      <c r="K19" s="16" t="n"/>
      <c r="L19" s="16" t="n"/>
      <c r="M19" s="26" t="n"/>
      <c r="N19" s="25" t="n"/>
      <c r="O19" s="25" t="n"/>
      <c r="P19" s="26" t="n"/>
      <c r="Q19" s="26" t="n"/>
      <c r="R19" s="16" t="n"/>
      <c r="S19" s="16" t="n"/>
      <c r="T19" s="16" t="n"/>
      <c r="U19" s="19" t="n"/>
      <c r="V19" s="16" t="n"/>
      <c r="W19" s="16" t="n"/>
      <c r="X19" s="19" t="n"/>
      <c r="Y19" s="16" t="n"/>
      <c r="Z19" s="19" t="n"/>
      <c r="AA19" s="16" t="n"/>
      <c r="AB19" s="16" t="n"/>
      <c r="AC19" s="16" t="n"/>
      <c r="AD19" s="16" t="n"/>
      <c r="AE19" s="16" t="n"/>
      <c r="AF19" s="16" t="n"/>
      <c r="AG19" s="16" t="n"/>
      <c r="AH19" s="16" t="n"/>
      <c r="AI19" s="20" t="inlineStr">
        <is>
          <t>Output: Protein entry and justification of the species</t>
        </is>
      </c>
    </row>
    <row r="20">
      <c r="A20" s="15" t="inlineStr">
        <is>
          <t>2.5</t>
        </is>
      </c>
      <c r="B20" s="16" t="inlineStr">
        <is>
          <t>InterPro: domains</t>
        </is>
      </c>
      <c r="C20" s="16" t="inlineStr">
        <is>
          <t>Elsa</t>
        </is>
      </c>
      <c r="D20" s="17" t="n">
        <v>46301</v>
      </c>
      <c r="E20" s="17" t="n">
        <v>46308</v>
      </c>
      <c r="F20" s="16" t="n"/>
      <c r="G20" s="16" t="n"/>
      <c r="H20" s="16">
        <f>NETWORKDAYS(D20,E20,Holidays!$A$2:$A$1000)</f>
        <v/>
      </c>
      <c r="I20" s="24" t="inlineStr">
        <is>
          <t>Pending</t>
        </is>
      </c>
      <c r="J20" s="16" t="n"/>
      <c r="K20" s="16" t="n"/>
      <c r="L20" s="16" t="n"/>
      <c r="M20" s="26" t="n"/>
      <c r="N20" s="25" t="n"/>
      <c r="O20" s="25" t="n"/>
      <c r="P20" s="26" t="n"/>
      <c r="Q20" s="26" t="n"/>
      <c r="R20" s="16" t="n"/>
      <c r="S20" s="16" t="n"/>
      <c r="T20" s="16" t="n"/>
      <c r="U20" s="19" t="n"/>
      <c r="V20" s="16" t="n"/>
      <c r="W20" s="16" t="n"/>
      <c r="X20" s="19" t="n"/>
      <c r="Y20" s="16" t="n"/>
      <c r="Z20" s="19" t="n"/>
      <c r="AA20" s="16" t="n"/>
      <c r="AB20" s="16" t="n"/>
      <c r="AC20" s="16" t="n"/>
      <c r="AD20" s="16" t="n"/>
      <c r="AE20" s="16" t="n"/>
      <c r="AF20" s="16" t="n"/>
      <c r="AG20" s="16" t="n"/>
      <c r="AH20" s="16" t="n"/>
      <c r="AI20" s="20" t="inlineStr">
        <is>
          <t>Output: List of domains</t>
        </is>
      </c>
    </row>
    <row r="21">
      <c r="A21" s="15" t="inlineStr">
        <is>
          <t>2.6</t>
        </is>
      </c>
      <c r="B21" s="16" t="inlineStr">
        <is>
          <t>PDB: healthy and variant structure</t>
        </is>
      </c>
      <c r="C21" s="16" t="inlineStr">
        <is>
          <t>Elsa</t>
        </is>
      </c>
      <c r="D21" s="17" t="n">
        <v>46301</v>
      </c>
      <c r="E21" s="17" t="n">
        <v>46308</v>
      </c>
      <c r="F21" s="16" t="n"/>
      <c r="G21" s="16" t="n"/>
      <c r="H21" s="16">
        <f>NETWORKDAYS(D21,E21,Holidays!$A$2:$A$1000)</f>
        <v/>
      </c>
      <c r="I21" s="24" t="inlineStr">
        <is>
          <t>Pending</t>
        </is>
      </c>
      <c r="J21" s="16" t="n"/>
      <c r="K21" s="16" t="n"/>
      <c r="L21" s="16" t="n"/>
      <c r="M21" s="26" t="n"/>
      <c r="N21" s="25" t="n"/>
      <c r="O21" s="25" t="n"/>
      <c r="P21" s="26" t="n"/>
      <c r="Q21" s="26" t="n"/>
      <c r="R21" s="16" t="n"/>
      <c r="S21" s="16" t="n"/>
      <c r="T21" s="16" t="n"/>
      <c r="U21" s="19" t="n"/>
      <c r="V21" s="16" t="n"/>
      <c r="W21" s="16" t="n"/>
      <c r="X21" s="19" t="n"/>
      <c r="Y21" s="16" t="n"/>
      <c r="Z21" s="19" t="n"/>
      <c r="AA21" s="16" t="n"/>
      <c r="AB21" s="16" t="n"/>
      <c r="AC21" s="16" t="n"/>
      <c r="AD21" s="16" t="n"/>
      <c r="AE21" s="16" t="n"/>
      <c r="AF21" s="16" t="n"/>
      <c r="AG21" s="16" t="n"/>
      <c r="AH21" s="16" t="n"/>
      <c r="AI21" s="20" t="inlineStr">
        <is>
          <t>Output: Selected PDB IDs</t>
        </is>
      </c>
    </row>
    <row r="22">
      <c r="A22" s="15" t="inlineStr">
        <is>
          <t>2.7</t>
        </is>
      </c>
      <c r="B22" s="16" t="inlineStr">
        <is>
          <t>Reference management</t>
        </is>
      </c>
      <c r="C22" s="16" t="inlineStr">
        <is>
          <t>Salomé</t>
        </is>
      </c>
      <c r="D22" s="17" t="n">
        <v>46296</v>
      </c>
      <c r="E22" s="17" t="n">
        <v>46317</v>
      </c>
      <c r="F22" s="17" t="n">
        <v>46296</v>
      </c>
      <c r="G22" s="16" t="n"/>
      <c r="H22" s="16">
        <f>NETWORKDAYS(D22,E22,Holidays!$A$2:$A$1000)</f>
        <v/>
      </c>
      <c r="I22" s="22" t="inlineStr">
        <is>
          <t>In progress</t>
        </is>
      </c>
      <c r="J22" s="25" t="n"/>
      <c r="K22" s="25" t="n"/>
      <c r="L22" s="25" t="n"/>
      <c r="M22" s="26" t="n"/>
      <c r="N22" s="25" t="n"/>
      <c r="O22" s="25" t="n"/>
      <c r="P22" s="26" t="n"/>
      <c r="Q22" s="26" t="n"/>
      <c r="R22" s="25" t="n"/>
      <c r="S22" s="25" t="n"/>
      <c r="T22" s="25" t="n"/>
      <c r="U22" s="26" t="n"/>
      <c r="V22" s="25" t="n"/>
      <c r="W22" s="25" t="n"/>
      <c r="X22" s="26" t="n"/>
      <c r="Y22" s="16" t="n"/>
      <c r="Z22" s="19" t="n"/>
      <c r="AA22" s="16" t="n"/>
      <c r="AB22" s="16" t="n"/>
      <c r="AC22" s="16" t="n"/>
      <c r="AD22" s="16" t="n"/>
      <c r="AE22" s="16" t="n"/>
      <c r="AF22" s="16" t="n"/>
      <c r="AG22" s="16" t="n"/>
      <c r="AH22" s="16" t="n"/>
      <c r="AI22" s="20" t="inlineStr">
        <is>
          <t>Output: List in BMC format</t>
        </is>
      </c>
    </row>
    <row r="23">
      <c r="A23" s="10" t="inlineStr">
        <is>
          <t>WP3</t>
        </is>
      </c>
      <c r="B23" s="11" t="inlineStr">
        <is>
          <t>Bioinformatic analysis</t>
        </is>
      </c>
      <c r="C23" s="12" t="n"/>
      <c r="D23" s="13" t="n">
        <v>46308</v>
      </c>
      <c r="E23" s="13" t="n">
        <v>46317</v>
      </c>
      <c r="F23" s="12" t="n"/>
      <c r="G23" s="12" t="n"/>
      <c r="H23" s="11">
        <f>NETWORKDAYS(D23,E23,Holidays!$A$2:$A$1000)</f>
        <v/>
      </c>
      <c r="I23" s="12" t="n"/>
      <c r="J23" s="12" t="n"/>
      <c r="K23" s="12" t="n"/>
      <c r="L23" s="12" t="n"/>
      <c r="M23" s="14" t="n"/>
      <c r="N23" s="12" t="n"/>
      <c r="O23" s="12" t="n"/>
      <c r="P23" s="14" t="n"/>
      <c r="Q23" s="14" t="n"/>
      <c r="R23" s="12" t="n"/>
      <c r="S23" s="12" t="n"/>
      <c r="T23" s="12" t="n"/>
      <c r="U23" s="14" t="n"/>
      <c r="V23" s="12" t="n"/>
      <c r="W23" s="12" t="n"/>
      <c r="X23" s="14" t="n"/>
      <c r="Y23" s="12" t="n"/>
      <c r="Z23" s="14" t="n"/>
      <c r="AA23" s="12" t="n"/>
      <c r="AB23" s="12" t="n"/>
      <c r="AC23" s="12" t="n"/>
      <c r="AD23" s="12" t="n"/>
      <c r="AE23" s="12" t="n"/>
      <c r="AF23" s="12" t="n"/>
      <c r="AG23" s="12" t="n"/>
      <c r="AH23" s="12" t="n"/>
      <c r="AI23" s="12" t="n"/>
    </row>
    <row r="24">
      <c r="A24" s="15" t="inlineStr">
        <is>
          <t>3.1</t>
        </is>
      </c>
      <c r="B24" s="16" t="inlineStr">
        <is>
          <t>Retrieve FASTA sequences (reference, variant and orthologs)</t>
        </is>
      </c>
      <c r="C24" s="16" t="inlineStr">
        <is>
          <t>Dàlia</t>
        </is>
      </c>
      <c r="D24" s="17" t="n">
        <v>46308</v>
      </c>
      <c r="E24" s="17" t="n">
        <v>46310</v>
      </c>
      <c r="F24" s="16" t="n"/>
      <c r="G24" s="16" t="n"/>
      <c r="H24" s="16">
        <f>NETWORKDAYS(D24,E24,Holidays!$A$2:$A$1000)</f>
        <v/>
      </c>
      <c r="I24" s="27" t="inlineStr">
        <is>
          <t>Backlog</t>
        </is>
      </c>
      <c r="J24" s="16" t="n"/>
      <c r="K24" s="16" t="n"/>
      <c r="L24" s="16" t="n"/>
      <c r="M24" s="19" t="n"/>
      <c r="N24" s="16" t="n"/>
      <c r="O24" s="16" t="n"/>
      <c r="P24" s="19" t="n"/>
      <c r="Q24" s="28" t="n"/>
      <c r="R24" s="29" t="n"/>
      <c r="S24" s="29" t="n"/>
      <c r="T24" s="16" t="n"/>
      <c r="U24" s="19" t="n"/>
      <c r="V24" s="16" t="n"/>
      <c r="W24" s="16" t="n"/>
      <c r="X24" s="19" t="n"/>
      <c r="Y24" s="16" t="n"/>
      <c r="Z24" s="19" t="n"/>
      <c r="AA24" s="16" t="n"/>
      <c r="AB24" s="16" t="n"/>
      <c r="AC24" s="16" t="n"/>
      <c r="AD24" s="16" t="n"/>
      <c r="AE24" s="16" t="n"/>
      <c r="AF24" s="16" t="n"/>
      <c r="AG24" s="16" t="n"/>
      <c r="AH24" s="16" t="n"/>
      <c r="AI24" s="20" t="inlineStr">
        <is>
          <t>Output: FASTA files</t>
        </is>
      </c>
    </row>
    <row r="25">
      <c r="A25" s="15" t="inlineStr">
        <is>
          <t>3.2</t>
        </is>
      </c>
      <c r="B25" s="16" t="inlineStr">
        <is>
          <t>Alignments and conservation</t>
        </is>
      </c>
      <c r="C25" s="16" t="inlineStr">
        <is>
          <t>Dàlia</t>
        </is>
      </c>
      <c r="D25" s="17" t="n">
        <v>46310</v>
      </c>
      <c r="E25" s="17" t="n">
        <v>46314</v>
      </c>
      <c r="F25" s="16" t="n"/>
      <c r="G25" s="16" t="n"/>
      <c r="H25" s="16">
        <f>NETWORKDAYS(D25,E25,Holidays!$A$2:$A$1000)</f>
        <v/>
      </c>
      <c r="I25" s="27" t="inlineStr">
        <is>
          <t>Backlog</t>
        </is>
      </c>
      <c r="J25" s="16" t="n"/>
      <c r="K25" s="16" t="n"/>
      <c r="L25" s="16" t="n"/>
      <c r="M25" s="19" t="n"/>
      <c r="N25" s="16" t="n"/>
      <c r="O25" s="16" t="n"/>
      <c r="P25" s="19" t="n"/>
      <c r="Q25" s="19" t="n"/>
      <c r="R25" s="16" t="n"/>
      <c r="S25" s="29" t="n"/>
      <c r="T25" s="29" t="n"/>
      <c r="U25" s="28" t="n"/>
      <c r="V25" s="16" t="n"/>
      <c r="W25" s="16" t="n"/>
      <c r="X25" s="19" t="n"/>
      <c r="Y25" s="16" t="n"/>
      <c r="Z25" s="19" t="n"/>
      <c r="AA25" s="16" t="n"/>
      <c r="AB25" s="16" t="n"/>
      <c r="AC25" s="16" t="n"/>
      <c r="AD25" s="16" t="n"/>
      <c r="AE25" s="16" t="n"/>
      <c r="AF25" s="16" t="n"/>
      <c r="AG25" s="16" t="n"/>
      <c r="AH25" s="16" t="n"/>
      <c r="AI25" s="20" t="inlineStr">
        <is>
          <t>Output: Alignment and conservation table</t>
        </is>
      </c>
    </row>
    <row r="26">
      <c r="A26" s="15" t="inlineStr">
        <is>
          <t>3.3</t>
        </is>
      </c>
      <c r="B26" s="16" t="inlineStr">
        <is>
          <t>Structural comparison: healthy vs variant</t>
        </is>
      </c>
      <c r="C26" s="16" t="inlineStr">
        <is>
          <t>Noah</t>
        </is>
      </c>
      <c r="D26" s="17" t="n">
        <v>46308</v>
      </c>
      <c r="E26" s="17" t="n">
        <v>46314</v>
      </c>
      <c r="F26" s="16" t="n"/>
      <c r="G26" s="16" t="n"/>
      <c r="H26" s="16">
        <f>NETWORKDAYS(D26,E26,Holidays!$A$2:$A$1000)</f>
        <v/>
      </c>
      <c r="I26" s="27" t="inlineStr">
        <is>
          <t>Backlog</t>
        </is>
      </c>
      <c r="J26" s="16" t="n"/>
      <c r="K26" s="16" t="n"/>
      <c r="L26" s="16" t="n"/>
      <c r="M26" s="19" t="n"/>
      <c r="N26" s="16" t="n"/>
      <c r="O26" s="16" t="n"/>
      <c r="P26" s="19" t="n"/>
      <c r="Q26" s="28" t="n"/>
      <c r="R26" s="29" t="n"/>
      <c r="S26" s="29" t="n"/>
      <c r="T26" s="29" t="n"/>
      <c r="U26" s="28" t="n"/>
      <c r="V26" s="16" t="n"/>
      <c r="W26" s="16" t="n"/>
      <c r="X26" s="19" t="n"/>
      <c r="Y26" s="16" t="n"/>
      <c r="Z26" s="19" t="n"/>
      <c r="AA26" s="16" t="n"/>
      <c r="AB26" s="16" t="n"/>
      <c r="AC26" s="16" t="n"/>
      <c r="AD26" s="16" t="n"/>
      <c r="AE26" s="16" t="n"/>
      <c r="AF26" s="16" t="n"/>
      <c r="AG26" s="16" t="n"/>
      <c r="AH26" s="16" t="n"/>
      <c r="AI26" s="20" t="inlineStr">
        <is>
          <t>Output: Images and notes</t>
        </is>
      </c>
    </row>
    <row r="27">
      <c r="A27" s="15" t="inlineStr">
        <is>
          <t>3.4</t>
        </is>
      </c>
      <c r="B27" s="16" t="inlineStr">
        <is>
          <t>Figures</t>
        </is>
      </c>
      <c r="C27" s="16" t="inlineStr">
        <is>
          <t>Dàlia + Noah</t>
        </is>
      </c>
      <c r="D27" s="17" t="n">
        <v>46315</v>
      </c>
      <c r="E27" s="17" t="n">
        <v>46317</v>
      </c>
      <c r="F27" s="16" t="n"/>
      <c r="G27" s="16" t="n"/>
      <c r="H27" s="16">
        <f>NETWORKDAYS(D27,E27,Holidays!$A$2:$A$1000)</f>
        <v/>
      </c>
      <c r="I27" s="27" t="inlineStr">
        <is>
          <t>Backlog</t>
        </is>
      </c>
      <c r="J27" s="16" t="n"/>
      <c r="K27" s="16" t="n"/>
      <c r="L27" s="16" t="n"/>
      <c r="M27" s="19" t="n"/>
      <c r="N27" s="16" t="n"/>
      <c r="O27" s="16" t="n"/>
      <c r="P27" s="19" t="n"/>
      <c r="Q27" s="19" t="n"/>
      <c r="R27" s="16" t="n"/>
      <c r="S27" s="16" t="n"/>
      <c r="T27" s="16" t="n"/>
      <c r="U27" s="19" t="n"/>
      <c r="V27" s="29" t="n"/>
      <c r="W27" s="29" t="n"/>
      <c r="X27" s="28" t="n"/>
      <c r="Y27" s="16" t="n"/>
      <c r="Z27" s="19" t="n"/>
      <c r="AA27" s="16" t="n"/>
      <c r="AB27" s="16" t="n"/>
      <c r="AC27" s="16" t="n"/>
      <c r="AD27" s="16" t="n"/>
      <c r="AE27" s="16" t="n"/>
      <c r="AF27" s="16" t="n"/>
      <c r="AG27" s="16" t="n"/>
      <c r="AH27" s="16" t="n"/>
      <c r="AI27" s="20" t="inlineStr">
        <is>
          <t>Output: Figures in figures/</t>
        </is>
      </c>
    </row>
    <row r="28">
      <c r="A28" s="15" t="inlineStr">
        <is>
          <t>3.5</t>
        </is>
      </c>
      <c r="B28" s="16" t="inlineStr">
        <is>
          <t>Evolutionary and homolog interpretation</t>
        </is>
      </c>
      <c r="C28" s="16" t="inlineStr">
        <is>
          <t>Noah</t>
        </is>
      </c>
      <c r="D28" s="17" t="n">
        <v>46308</v>
      </c>
      <c r="E28" s="17" t="n">
        <v>46314</v>
      </c>
      <c r="F28" s="16" t="n"/>
      <c r="G28" s="16" t="n"/>
      <c r="H28" s="16">
        <f>NETWORKDAYS(D28,E28,Holidays!$A$2:$A$1000)</f>
        <v/>
      </c>
      <c r="I28" s="27" t="inlineStr">
        <is>
          <t>Backlog</t>
        </is>
      </c>
      <c r="J28" s="16" t="n"/>
      <c r="K28" s="16" t="n"/>
      <c r="L28" s="16" t="n"/>
      <c r="M28" s="19" t="n"/>
      <c r="N28" s="16" t="n"/>
      <c r="O28" s="16" t="n"/>
      <c r="P28" s="19" t="n"/>
      <c r="Q28" s="28" t="n"/>
      <c r="R28" s="29" t="n"/>
      <c r="S28" s="29" t="n"/>
      <c r="T28" s="29" t="n"/>
      <c r="U28" s="28" t="n"/>
      <c r="V28" s="16" t="n"/>
      <c r="W28" s="16" t="n"/>
      <c r="X28" s="19" t="n"/>
      <c r="Y28" s="16" t="n"/>
      <c r="Z28" s="19" t="n"/>
      <c r="AA28" s="16" t="n"/>
      <c r="AB28" s="16" t="n"/>
      <c r="AC28" s="16" t="n"/>
      <c r="AD28" s="16" t="n"/>
      <c r="AE28" s="16" t="n"/>
      <c r="AF28" s="16" t="n"/>
      <c r="AG28" s="16" t="n"/>
      <c r="AH28" s="16" t="n"/>
      <c r="AI28" s="20" t="inlineStr">
        <is>
          <t>Output: Interpretation notes</t>
        </is>
      </c>
    </row>
    <row r="29">
      <c r="A29" s="15" t="inlineStr">
        <is>
          <t>3.6</t>
        </is>
      </c>
      <c r="B29" s="16" t="inlineStr">
        <is>
          <t>Limitations of each analysis</t>
        </is>
      </c>
      <c r="C29" s="16" t="inlineStr">
        <is>
          <t>Adriana</t>
        </is>
      </c>
      <c r="D29" s="17" t="n">
        <v>46315</v>
      </c>
      <c r="E29" s="17" t="n">
        <v>46317</v>
      </c>
      <c r="F29" s="16" t="n"/>
      <c r="G29" s="16" t="n"/>
      <c r="H29" s="16">
        <f>NETWORKDAYS(D29,E29,Holidays!$A$2:$A$1000)</f>
        <v/>
      </c>
      <c r="I29" s="27" t="inlineStr">
        <is>
          <t>Backlog</t>
        </is>
      </c>
      <c r="J29" s="16" t="n"/>
      <c r="K29" s="16" t="n"/>
      <c r="L29" s="16" t="n"/>
      <c r="M29" s="19" t="n"/>
      <c r="N29" s="16" t="n"/>
      <c r="O29" s="16" t="n"/>
      <c r="P29" s="19" t="n"/>
      <c r="Q29" s="19" t="n"/>
      <c r="R29" s="16" t="n"/>
      <c r="S29" s="16" t="n"/>
      <c r="T29" s="16" t="n"/>
      <c r="U29" s="19" t="n"/>
      <c r="V29" s="29" t="n"/>
      <c r="W29" s="29" t="n"/>
      <c r="X29" s="28" t="n"/>
      <c r="Y29" s="16" t="n"/>
      <c r="Z29" s="19" t="n"/>
      <c r="AA29" s="16" t="n"/>
      <c r="AB29" s="16" t="n"/>
      <c r="AC29" s="16" t="n"/>
      <c r="AD29" s="16" t="n"/>
      <c r="AE29" s="16" t="n"/>
      <c r="AF29" s="16" t="n"/>
      <c r="AG29" s="16" t="n"/>
      <c r="AH29" s="16" t="n"/>
      <c r="AI29" s="20" t="inlineStr">
        <is>
          <t>Output: Limitations summary (to be integrated into the Discussion section)</t>
        </is>
      </c>
    </row>
    <row r="30">
      <c r="A30" s="10" t="inlineStr">
        <is>
          <t>WP4</t>
        </is>
      </c>
      <c r="B30" s="11" t="inlineStr">
        <is>
          <t>Report</t>
        </is>
      </c>
      <c r="C30" s="12" t="n"/>
      <c r="D30" s="13" t="n">
        <v>46311</v>
      </c>
      <c r="E30" s="13" t="n">
        <v>46321</v>
      </c>
      <c r="F30" s="12" t="n"/>
      <c r="G30" s="12" t="n"/>
      <c r="H30" s="11">
        <f>NETWORKDAYS(D30,E30,Holidays!$A$2:$A$1000)</f>
        <v/>
      </c>
      <c r="I30" s="12" t="n"/>
      <c r="J30" s="12" t="n"/>
      <c r="K30" s="12" t="n"/>
      <c r="L30" s="12" t="n"/>
      <c r="M30" s="14" t="n"/>
      <c r="N30" s="12" t="n"/>
      <c r="O30" s="12" t="n"/>
      <c r="P30" s="14" t="n"/>
      <c r="Q30" s="14" t="n"/>
      <c r="R30" s="12" t="n"/>
      <c r="S30" s="12" t="n"/>
      <c r="T30" s="12" t="n"/>
      <c r="U30" s="14" t="n"/>
      <c r="V30" s="12" t="n"/>
      <c r="W30" s="12" t="n"/>
      <c r="X30" s="14" t="n"/>
      <c r="Y30" s="12" t="n"/>
      <c r="Z30" s="14" t="n"/>
      <c r="AA30" s="12" t="n"/>
      <c r="AB30" s="12" t="n"/>
      <c r="AC30" s="12" t="n"/>
      <c r="AD30" s="12" t="n"/>
      <c r="AE30" s="12" t="n"/>
      <c r="AF30" s="12" t="n"/>
      <c r="AG30" s="12" t="n"/>
      <c r="AH30" s="12" t="n"/>
      <c r="AI30" s="12" t="n"/>
    </row>
    <row r="31">
      <c r="A31" s="15" t="inlineStr">
        <is>
          <t>4.1</t>
        </is>
      </c>
      <c r="B31" s="16" t="inlineStr">
        <is>
          <t>Cross-explanation session</t>
        </is>
      </c>
      <c r="C31" s="16" t="inlineStr">
        <is>
          <t>All</t>
        </is>
      </c>
      <c r="D31" s="17" t="n">
        <v>46315</v>
      </c>
      <c r="E31" s="17" t="n">
        <v>46315</v>
      </c>
      <c r="F31" s="16" t="n"/>
      <c r="G31" s="16" t="n"/>
      <c r="H31" s="16">
        <f>NETWORKDAYS(D31,E31,Holidays!$A$2:$A$1000)</f>
        <v/>
      </c>
      <c r="I31" s="27" t="inlineStr">
        <is>
          <t>Backlog</t>
        </is>
      </c>
      <c r="J31" s="16" t="n"/>
      <c r="K31" s="16" t="n"/>
      <c r="L31" s="16" t="n"/>
      <c r="M31" s="19" t="n"/>
      <c r="N31" s="16" t="n"/>
      <c r="O31" s="16" t="n"/>
      <c r="P31" s="19" t="n"/>
      <c r="Q31" s="19" t="n"/>
      <c r="R31" s="16" t="n"/>
      <c r="S31" s="16" t="n"/>
      <c r="T31" s="16" t="n"/>
      <c r="U31" s="19" t="n"/>
      <c r="V31" s="30" t="n"/>
      <c r="W31" s="16" t="n"/>
      <c r="X31" s="19" t="n"/>
      <c r="Y31" s="16" t="n"/>
      <c r="Z31" s="19" t="n"/>
      <c r="AA31" s="16" t="n"/>
      <c r="AB31" s="16" t="n"/>
      <c r="AC31" s="16" t="n"/>
      <c r="AD31" s="16" t="n"/>
      <c r="AE31" s="16" t="n"/>
      <c r="AF31" s="16" t="n"/>
      <c r="AG31" s="16" t="n"/>
      <c r="AH31" s="16" t="n"/>
      <c r="AI31" s="20" t="n"/>
    </row>
    <row r="32">
      <c r="A32" s="15" t="inlineStr">
        <is>
          <t>4.2</t>
        </is>
      </c>
      <c r="B32" s="16" t="inlineStr">
        <is>
          <t>Report outline</t>
        </is>
      </c>
      <c r="C32" s="16" t="inlineStr">
        <is>
          <t>Salomé</t>
        </is>
      </c>
      <c r="D32" s="17" t="n">
        <v>46311</v>
      </c>
      <c r="E32" s="17" t="n">
        <v>46311</v>
      </c>
      <c r="F32" s="16" t="n"/>
      <c r="G32" s="16" t="n"/>
      <c r="H32" s="16">
        <f>NETWORKDAYS(D32,E32,Holidays!$A$2:$A$1000)</f>
        <v/>
      </c>
      <c r="I32" s="27" t="inlineStr">
        <is>
          <t>Backlog</t>
        </is>
      </c>
      <c r="J32" s="16" t="n"/>
      <c r="K32" s="16" t="n"/>
      <c r="L32" s="16" t="n"/>
      <c r="M32" s="19" t="n"/>
      <c r="N32" s="16" t="n"/>
      <c r="O32" s="16" t="n"/>
      <c r="P32" s="19" t="n"/>
      <c r="Q32" s="19" t="n"/>
      <c r="R32" s="16" t="n"/>
      <c r="S32" s="16" t="n"/>
      <c r="T32" s="30" t="n"/>
      <c r="U32" s="19" t="n"/>
      <c r="V32" s="16" t="n"/>
      <c r="W32" s="16" t="n"/>
      <c r="X32" s="19" t="n"/>
      <c r="Y32" s="16" t="n"/>
      <c r="Z32" s="19" t="n"/>
      <c r="AA32" s="16" t="n"/>
      <c r="AB32" s="16" t="n"/>
      <c r="AC32" s="16" t="n"/>
      <c r="AD32" s="16" t="n"/>
      <c r="AE32" s="16" t="n"/>
      <c r="AF32" s="16" t="n"/>
      <c r="AG32" s="16" t="n"/>
      <c r="AH32" s="16" t="n"/>
      <c r="AI32" s="20" t="inlineStr">
        <is>
          <t>Output: Report outline (.md file with the BMC sections)</t>
        </is>
      </c>
    </row>
    <row r="33">
      <c r="A33" s="15" t="inlineStr">
        <is>
          <t>4.3</t>
        </is>
      </c>
      <c r="B33" s="16" t="inlineStr">
        <is>
          <t>Introduction</t>
        </is>
      </c>
      <c r="C33" s="16" t="inlineStr">
        <is>
          <t>Salomé</t>
        </is>
      </c>
      <c r="D33" s="17" t="n">
        <v>46314</v>
      </c>
      <c r="E33" s="17" t="n">
        <v>46317</v>
      </c>
      <c r="F33" s="16" t="n"/>
      <c r="G33" s="16" t="n"/>
      <c r="H33" s="16">
        <f>NETWORKDAYS(D33,E33,Holidays!$A$2:$A$1000)</f>
        <v/>
      </c>
      <c r="I33" s="27" t="inlineStr">
        <is>
          <t>Backlog</t>
        </is>
      </c>
      <c r="J33" s="16" t="n"/>
      <c r="K33" s="16" t="n"/>
      <c r="L33" s="16" t="n"/>
      <c r="M33" s="19" t="n"/>
      <c r="N33" s="16" t="n"/>
      <c r="O33" s="16" t="n"/>
      <c r="P33" s="19" t="n"/>
      <c r="Q33" s="19" t="n"/>
      <c r="R33" s="16" t="n"/>
      <c r="S33" s="16" t="n"/>
      <c r="T33" s="16" t="n"/>
      <c r="U33" s="31" t="n"/>
      <c r="V33" s="30" t="n"/>
      <c r="W33" s="30" t="n"/>
      <c r="X33" s="31" t="n"/>
      <c r="Y33" s="16" t="n"/>
      <c r="Z33" s="19" t="n"/>
      <c r="AA33" s="16" t="n"/>
      <c r="AB33" s="16" t="n"/>
      <c r="AC33" s="16" t="n"/>
      <c r="AD33" s="16" t="n"/>
      <c r="AE33" s="16" t="n"/>
      <c r="AF33" s="16" t="n"/>
      <c r="AG33" s="16" t="n"/>
      <c r="AH33" s="16" t="n"/>
      <c r="AI33" s="20" t="n"/>
    </row>
    <row r="34">
      <c r="A34" s="15" t="inlineStr">
        <is>
          <t>4.4</t>
        </is>
      </c>
      <c r="B34" s="16" t="inlineStr">
        <is>
          <t>Methods</t>
        </is>
      </c>
      <c r="C34" s="16" t="inlineStr">
        <is>
          <t>Noah</t>
        </is>
      </c>
      <c r="D34" s="17" t="n">
        <v>46315</v>
      </c>
      <c r="E34" s="17" t="n">
        <v>46317</v>
      </c>
      <c r="F34" s="16" t="n"/>
      <c r="G34" s="16" t="n"/>
      <c r="H34" s="16">
        <f>NETWORKDAYS(D34,E34,Holidays!$A$2:$A$1000)</f>
        <v/>
      </c>
      <c r="I34" s="27" t="inlineStr">
        <is>
          <t>Backlog</t>
        </is>
      </c>
      <c r="J34" s="16" t="n"/>
      <c r="K34" s="16" t="n"/>
      <c r="L34" s="16" t="n"/>
      <c r="M34" s="19" t="n"/>
      <c r="N34" s="16" t="n"/>
      <c r="O34" s="16" t="n"/>
      <c r="P34" s="19" t="n"/>
      <c r="Q34" s="19" t="n"/>
      <c r="R34" s="16" t="n"/>
      <c r="S34" s="16" t="n"/>
      <c r="T34" s="16" t="n"/>
      <c r="U34" s="19" t="n"/>
      <c r="V34" s="30" t="n"/>
      <c r="W34" s="30" t="n"/>
      <c r="X34" s="31" t="n"/>
      <c r="Y34" s="16" t="n"/>
      <c r="Z34" s="19" t="n"/>
      <c r="AA34" s="16" t="n"/>
      <c r="AB34" s="16" t="n"/>
      <c r="AC34" s="16" t="n"/>
      <c r="AD34" s="16" t="n"/>
      <c r="AE34" s="16" t="n"/>
      <c r="AF34" s="16" t="n"/>
      <c r="AG34" s="16" t="n"/>
      <c r="AH34" s="16" t="n"/>
      <c r="AI34" s="20" t="n"/>
    </row>
    <row r="35">
      <c r="A35" s="15" t="inlineStr">
        <is>
          <t>4.5</t>
        </is>
      </c>
      <c r="B35" s="16" t="inlineStr">
        <is>
          <t>Results</t>
        </is>
      </c>
      <c r="C35" s="16" t="inlineStr">
        <is>
          <t>Dàlia</t>
        </is>
      </c>
      <c r="D35" s="17" t="n">
        <v>46315</v>
      </c>
      <c r="E35" s="17" t="n">
        <v>46317</v>
      </c>
      <c r="F35" s="16" t="n"/>
      <c r="G35" s="16" t="n"/>
      <c r="H35" s="16">
        <f>NETWORKDAYS(D35,E35,Holidays!$A$2:$A$1000)</f>
        <v/>
      </c>
      <c r="I35" s="27" t="inlineStr">
        <is>
          <t>Backlog</t>
        </is>
      </c>
      <c r="J35" s="16" t="n"/>
      <c r="K35" s="16" t="n"/>
      <c r="L35" s="16" t="n"/>
      <c r="M35" s="19" t="n"/>
      <c r="N35" s="16" t="n"/>
      <c r="O35" s="16" t="n"/>
      <c r="P35" s="19" t="n"/>
      <c r="Q35" s="19" t="n"/>
      <c r="R35" s="16" t="n"/>
      <c r="S35" s="16" t="n"/>
      <c r="T35" s="16" t="n"/>
      <c r="U35" s="19" t="n"/>
      <c r="V35" s="30" t="n"/>
      <c r="W35" s="30" t="n"/>
      <c r="X35" s="31" t="n"/>
      <c r="Y35" s="16" t="n"/>
      <c r="Z35" s="19" t="n"/>
      <c r="AA35" s="16" t="n"/>
      <c r="AB35" s="16" t="n"/>
      <c r="AC35" s="16" t="n"/>
      <c r="AD35" s="16" t="n"/>
      <c r="AE35" s="16" t="n"/>
      <c r="AF35" s="16" t="n"/>
      <c r="AG35" s="16" t="n"/>
      <c r="AH35" s="16" t="n"/>
      <c r="AI35" s="20" t="n"/>
    </row>
    <row r="36">
      <c r="A36" s="15" t="inlineStr">
        <is>
          <t>4.6</t>
        </is>
      </c>
      <c r="B36" s="16" t="inlineStr">
        <is>
          <t>Discussion</t>
        </is>
      </c>
      <c r="C36" s="16" t="inlineStr">
        <is>
          <t>Adriana</t>
        </is>
      </c>
      <c r="D36" s="17" t="n">
        <v>46315</v>
      </c>
      <c r="E36" s="17" t="n">
        <v>46317</v>
      </c>
      <c r="F36" s="16" t="n"/>
      <c r="G36" s="16" t="n"/>
      <c r="H36" s="16">
        <f>NETWORKDAYS(D36,E36,Holidays!$A$2:$A$1000)</f>
        <v/>
      </c>
      <c r="I36" s="27" t="inlineStr">
        <is>
          <t>Backlog</t>
        </is>
      </c>
      <c r="J36" s="16" t="n"/>
      <c r="K36" s="16" t="n"/>
      <c r="L36" s="16" t="n"/>
      <c r="M36" s="19" t="n"/>
      <c r="N36" s="16" t="n"/>
      <c r="O36" s="16" t="n"/>
      <c r="P36" s="19" t="n"/>
      <c r="Q36" s="19" t="n"/>
      <c r="R36" s="16" t="n"/>
      <c r="S36" s="16" t="n"/>
      <c r="T36" s="16" t="n"/>
      <c r="U36" s="19" t="n"/>
      <c r="V36" s="30" t="n"/>
      <c r="W36" s="30" t="n"/>
      <c r="X36" s="31" t="n"/>
      <c r="Y36" s="16" t="n"/>
      <c r="Z36" s="19" t="n"/>
      <c r="AA36" s="16" t="n"/>
      <c r="AB36" s="16" t="n"/>
      <c r="AC36" s="16" t="n"/>
      <c r="AD36" s="16" t="n"/>
      <c r="AE36" s="16" t="n"/>
      <c r="AF36" s="16" t="n"/>
      <c r="AG36" s="16" t="n"/>
      <c r="AH36" s="16" t="n"/>
      <c r="AI36" s="20" t="n"/>
    </row>
    <row r="37">
      <c r="A37" s="15" t="inlineStr">
        <is>
          <t>4.7</t>
        </is>
      </c>
      <c r="B37" s="16" t="inlineStr">
        <is>
          <t>Abstract and author contributions</t>
        </is>
      </c>
      <c r="C37" s="16" t="inlineStr">
        <is>
          <t>Elsa</t>
        </is>
      </c>
      <c r="D37" s="17" t="n">
        <v>46317</v>
      </c>
      <c r="E37" s="17" t="n">
        <v>46318</v>
      </c>
      <c r="F37" s="16" t="n"/>
      <c r="G37" s="16" t="n"/>
      <c r="H37" s="16">
        <f>NETWORKDAYS(D37,E37,Holidays!$A$2:$A$1000)</f>
        <v/>
      </c>
      <c r="I37" s="27" t="inlineStr">
        <is>
          <t>Backlog</t>
        </is>
      </c>
      <c r="J37" s="16" t="n"/>
      <c r="K37" s="16" t="n"/>
      <c r="L37" s="16" t="n"/>
      <c r="M37" s="19" t="n"/>
      <c r="N37" s="16" t="n"/>
      <c r="O37" s="16" t="n"/>
      <c r="P37" s="19" t="n"/>
      <c r="Q37" s="19" t="n"/>
      <c r="R37" s="16" t="n"/>
      <c r="S37" s="16" t="n"/>
      <c r="T37" s="16" t="n"/>
      <c r="U37" s="19" t="n"/>
      <c r="V37" s="16" t="n"/>
      <c r="W37" s="16" t="n"/>
      <c r="X37" s="31" t="n"/>
      <c r="Y37" s="30" t="n"/>
      <c r="Z37" s="19" t="n"/>
      <c r="AA37" s="16" t="n"/>
      <c r="AB37" s="16" t="n"/>
      <c r="AC37" s="16" t="n"/>
      <c r="AD37" s="16" t="n"/>
      <c r="AE37" s="16" t="n"/>
      <c r="AF37" s="16" t="n"/>
      <c r="AG37" s="16" t="n"/>
      <c r="AH37" s="16" t="n"/>
      <c r="AI37" s="20" t="n"/>
    </row>
    <row r="38">
      <c r="A38" s="15" t="inlineStr">
        <is>
          <t>4.8</t>
        </is>
      </c>
      <c r="B38" s="16" t="inlineStr">
        <is>
          <t>Joint review</t>
        </is>
      </c>
      <c r="C38" s="16" t="inlineStr">
        <is>
          <t>All</t>
        </is>
      </c>
      <c r="D38" s="17" t="n">
        <v>46318</v>
      </c>
      <c r="E38" s="17" t="n">
        <v>46318</v>
      </c>
      <c r="F38" s="16" t="n"/>
      <c r="G38" s="16" t="n"/>
      <c r="H38" s="16">
        <f>NETWORKDAYS(D38,E38,Holidays!$A$2:$A$1000)</f>
        <v/>
      </c>
      <c r="I38" s="27" t="inlineStr">
        <is>
          <t>Backlog</t>
        </is>
      </c>
      <c r="J38" s="16" t="n"/>
      <c r="K38" s="16" t="n"/>
      <c r="L38" s="16" t="n"/>
      <c r="M38" s="19" t="n"/>
      <c r="N38" s="16" t="n"/>
      <c r="O38" s="16" t="n"/>
      <c r="P38" s="19" t="n"/>
      <c r="Q38" s="19" t="n"/>
      <c r="R38" s="16" t="n"/>
      <c r="S38" s="16" t="n"/>
      <c r="T38" s="16" t="n"/>
      <c r="U38" s="19" t="n"/>
      <c r="V38" s="16" t="n"/>
      <c r="W38" s="16" t="n"/>
      <c r="X38" s="19" t="n"/>
      <c r="Y38" s="30" t="n"/>
      <c r="Z38" s="19" t="n"/>
      <c r="AA38" s="16" t="n"/>
      <c r="AB38" s="16" t="n"/>
      <c r="AC38" s="16" t="n"/>
      <c r="AD38" s="16" t="n"/>
      <c r="AE38" s="16" t="n"/>
      <c r="AF38" s="16" t="n"/>
      <c r="AG38" s="16" t="n"/>
      <c r="AH38" s="16" t="n"/>
      <c r="AI38" s="20" t="n"/>
    </row>
    <row r="39">
      <c r="A39" s="15" t="inlineStr">
        <is>
          <t>4.9</t>
        </is>
      </c>
      <c r="B39" s="16" t="inlineStr">
        <is>
          <t>Submission on Moodle</t>
        </is>
      </c>
      <c r="C39" s="16" t="inlineStr">
        <is>
          <t>Adriana</t>
        </is>
      </c>
      <c r="D39" s="17" t="n">
        <v>46321</v>
      </c>
      <c r="E39" s="17" t="n">
        <v>46321</v>
      </c>
      <c r="F39" s="16" t="n"/>
      <c r="G39" s="16" t="n"/>
      <c r="H39" s="16">
        <f>NETWORKDAYS(D39,E39,Holidays!$A$2:$A$1000)</f>
        <v/>
      </c>
      <c r="I39" s="27" t="inlineStr">
        <is>
          <t>Backlog</t>
        </is>
      </c>
      <c r="J39" s="16" t="n"/>
      <c r="K39" s="16" t="n"/>
      <c r="L39" s="16" t="n"/>
      <c r="M39" s="19" t="n"/>
      <c r="N39" s="16" t="n"/>
      <c r="O39" s="16" t="n"/>
      <c r="P39" s="19" t="n"/>
      <c r="Q39" s="19" t="n"/>
      <c r="R39" s="16" t="n"/>
      <c r="S39" s="16" t="n"/>
      <c r="T39" s="16" t="n"/>
      <c r="U39" s="19" t="n"/>
      <c r="V39" s="16" t="n"/>
      <c r="W39" s="16" t="n"/>
      <c r="X39" s="19" t="n"/>
      <c r="Y39" s="16" t="n"/>
      <c r="Z39" s="31" t="n"/>
      <c r="AA39" s="16" t="n"/>
      <c r="AB39" s="16" t="n"/>
      <c r="AC39" s="16" t="n"/>
      <c r="AD39" s="16" t="n"/>
      <c r="AE39" s="16" t="n"/>
      <c r="AF39" s="16" t="n"/>
      <c r="AG39" s="16" t="n"/>
      <c r="AH39" s="16" t="n"/>
      <c r="AI39" s="20" t="n"/>
    </row>
    <row r="40">
      <c r="A40" s="10" t="inlineStr">
        <is>
          <t>WP5</t>
        </is>
      </c>
      <c r="B40" s="11" t="inlineStr">
        <is>
          <t>Defense</t>
        </is>
      </c>
      <c r="C40" s="12" t="n"/>
      <c r="D40" s="13" t="n">
        <v>46322</v>
      </c>
      <c r="E40" s="13" t="n">
        <v>46331</v>
      </c>
      <c r="F40" s="12" t="n"/>
      <c r="G40" s="12" t="n"/>
      <c r="H40" s="11">
        <f>NETWORKDAYS(D40,E40,Holidays!$A$2:$A$1000)</f>
        <v/>
      </c>
      <c r="I40" s="12" t="n"/>
      <c r="J40" s="12" t="n"/>
      <c r="K40" s="12" t="n"/>
      <c r="L40" s="12" t="n"/>
      <c r="M40" s="14" t="n"/>
      <c r="N40" s="12" t="n"/>
      <c r="O40" s="12" t="n"/>
      <c r="P40" s="14" t="n"/>
      <c r="Q40" s="14" t="n"/>
      <c r="R40" s="12" t="n"/>
      <c r="S40" s="12" t="n"/>
      <c r="T40" s="12" t="n"/>
      <c r="U40" s="14" t="n"/>
      <c r="V40" s="12" t="n"/>
      <c r="W40" s="12" t="n"/>
      <c r="X40" s="14" t="n"/>
      <c r="Y40" s="12" t="n"/>
      <c r="Z40" s="14" t="n"/>
      <c r="AA40" s="12" t="n"/>
      <c r="AB40" s="12" t="n"/>
      <c r="AC40" s="12" t="n"/>
      <c r="AD40" s="12" t="n"/>
      <c r="AE40" s="12" t="n"/>
      <c r="AF40" s="12" t="n"/>
      <c r="AG40" s="12" t="n"/>
      <c r="AH40" s="12" t="n"/>
      <c r="AI40" s="12" t="n"/>
    </row>
    <row r="41">
      <c r="A41" s="15" t="inlineStr">
        <is>
          <t>5.1</t>
        </is>
      </c>
      <c r="B41" s="16" t="inlineStr">
        <is>
          <t>Slides</t>
        </is>
      </c>
      <c r="C41" s="16" t="inlineStr">
        <is>
          <t>All</t>
        </is>
      </c>
      <c r="D41" s="17" t="n">
        <v>46322</v>
      </c>
      <c r="E41" s="17" t="n">
        <v>46324</v>
      </c>
      <c r="F41" s="16" t="n"/>
      <c r="G41" s="16" t="n"/>
      <c r="H41" s="16">
        <f>NETWORKDAYS(D41,E41,Holidays!$A$2:$A$1000)</f>
        <v/>
      </c>
      <c r="I41" s="27" t="inlineStr">
        <is>
          <t>Backlog</t>
        </is>
      </c>
      <c r="J41" s="16" t="n"/>
      <c r="K41" s="16" t="n"/>
      <c r="L41" s="16" t="n"/>
      <c r="M41" s="19" t="n"/>
      <c r="N41" s="16" t="n"/>
      <c r="O41" s="16" t="n"/>
      <c r="P41" s="19" t="n"/>
      <c r="Q41" s="19" t="n"/>
      <c r="R41" s="16" t="n"/>
      <c r="S41" s="16" t="n"/>
      <c r="T41" s="16" t="n"/>
      <c r="U41" s="19" t="n"/>
      <c r="V41" s="16" t="n"/>
      <c r="W41" s="16" t="n"/>
      <c r="X41" s="19" t="n"/>
      <c r="Y41" s="16" t="n"/>
      <c r="Z41" s="19" t="n"/>
      <c r="AA41" s="32" t="n"/>
      <c r="AB41" s="32" t="n"/>
      <c r="AC41" s="32" t="n"/>
      <c r="AD41" s="16" t="n"/>
      <c r="AE41" s="16" t="n"/>
      <c r="AF41" s="16" t="n"/>
      <c r="AG41" s="16" t="n"/>
      <c r="AH41" s="16" t="n"/>
      <c r="AI41" s="20" t="n"/>
    </row>
    <row r="42">
      <c r="A42" s="15" t="inlineStr">
        <is>
          <t>5.2</t>
        </is>
      </c>
      <c r="B42" s="16" t="inlineStr">
        <is>
          <t>Formatting presentation</t>
        </is>
      </c>
      <c r="C42" s="16" t="inlineStr">
        <is>
          <t>Elsa</t>
        </is>
      </c>
      <c r="D42" s="17" t="n">
        <v>46325</v>
      </c>
      <c r="E42" s="17" t="n">
        <v>46325</v>
      </c>
      <c r="F42" s="16" t="n"/>
      <c r="G42" s="16" t="n"/>
      <c r="H42" s="16">
        <f>NETWORKDAYS(D42,E42,Holidays!$A$2:$A$1000)</f>
        <v/>
      </c>
      <c r="I42" s="27" t="inlineStr">
        <is>
          <t>Backlog</t>
        </is>
      </c>
      <c r="J42" s="16" t="n"/>
      <c r="K42" s="16" t="n"/>
      <c r="L42" s="16" t="n"/>
      <c r="M42" s="19" t="n"/>
      <c r="N42" s="16" t="n"/>
      <c r="O42" s="16" t="n"/>
      <c r="P42" s="19" t="n"/>
      <c r="Q42" s="19" t="n"/>
      <c r="R42" s="16" t="n"/>
      <c r="S42" s="16" t="n"/>
      <c r="T42" s="16" t="n"/>
      <c r="U42" s="19" t="n"/>
      <c r="V42" s="16" t="n"/>
      <c r="W42" s="16" t="n"/>
      <c r="X42" s="19" t="n"/>
      <c r="Y42" s="16" t="n"/>
      <c r="Z42" s="19" t="n"/>
      <c r="AA42" s="16" t="n"/>
      <c r="AB42" s="16" t="n"/>
      <c r="AC42" s="16" t="n"/>
      <c r="AD42" s="32" t="n"/>
      <c r="AE42" s="16" t="n"/>
      <c r="AF42" s="16" t="n"/>
      <c r="AG42" s="16" t="n"/>
      <c r="AH42" s="16" t="n"/>
      <c r="AI42" s="20" t="n"/>
    </row>
    <row r="43">
      <c r="A43" s="15" t="inlineStr">
        <is>
          <t>5.3</t>
        </is>
      </c>
      <c r="B43" s="16" t="inlineStr">
        <is>
          <t>Two rehearsals</t>
        </is>
      </c>
      <c r="C43" s="16" t="inlineStr">
        <is>
          <t>All</t>
        </is>
      </c>
      <c r="D43" s="17" t="n">
        <v>46329</v>
      </c>
      <c r="E43" s="17" t="n">
        <v>46330</v>
      </c>
      <c r="F43" s="16" t="n"/>
      <c r="G43" s="16" t="n"/>
      <c r="H43" s="16">
        <f>NETWORKDAYS(D43,E43,Holidays!$A$2:$A$1000)</f>
        <v/>
      </c>
      <c r="I43" s="27" t="inlineStr">
        <is>
          <t>Backlog</t>
        </is>
      </c>
      <c r="J43" s="16" t="n"/>
      <c r="K43" s="16" t="n"/>
      <c r="L43" s="16" t="n"/>
      <c r="M43" s="19" t="n"/>
      <c r="N43" s="16" t="n"/>
      <c r="O43" s="16" t="n"/>
      <c r="P43" s="19" t="n"/>
      <c r="Q43" s="19" t="n"/>
      <c r="R43" s="16" t="n"/>
      <c r="S43" s="16" t="n"/>
      <c r="T43" s="16" t="n"/>
      <c r="U43" s="19" t="n"/>
      <c r="V43" s="16" t="n"/>
      <c r="W43" s="16" t="n"/>
      <c r="X43" s="19" t="n"/>
      <c r="Y43" s="16" t="n"/>
      <c r="Z43" s="19" t="n"/>
      <c r="AA43" s="16" t="n"/>
      <c r="AB43" s="16" t="n"/>
      <c r="AC43" s="16" t="n"/>
      <c r="AD43" s="16" t="n"/>
      <c r="AE43" s="16" t="n"/>
      <c r="AF43" s="32" t="n"/>
      <c r="AG43" s="32" t="n"/>
      <c r="AH43" s="16" t="n"/>
      <c r="AI43" s="20" t="n"/>
    </row>
    <row r="44">
      <c r="A44" s="15" t="inlineStr">
        <is>
          <t>5.4</t>
        </is>
      </c>
      <c r="B44" s="16" t="inlineStr">
        <is>
          <t>Project defense</t>
        </is>
      </c>
      <c r="C44" s="16" t="inlineStr">
        <is>
          <t>All</t>
        </is>
      </c>
      <c r="D44" s="17" t="n">
        <v>46331</v>
      </c>
      <c r="E44" s="17" t="n">
        <v>46331</v>
      </c>
      <c r="F44" s="16" t="n"/>
      <c r="G44" s="16" t="n"/>
      <c r="H44" s="16">
        <f>NETWORKDAYS(D44,E44,Holidays!$A$2:$A$1000)</f>
        <v/>
      </c>
      <c r="I44" s="27" t="inlineStr">
        <is>
          <t>Backlog</t>
        </is>
      </c>
      <c r="J44" s="16" t="n"/>
      <c r="K44" s="16" t="n"/>
      <c r="L44" s="16" t="n"/>
      <c r="M44" s="19" t="n"/>
      <c r="N44" s="16" t="n"/>
      <c r="O44" s="16" t="n"/>
      <c r="P44" s="19" t="n"/>
      <c r="Q44" s="19" t="n"/>
      <c r="R44" s="16" t="n"/>
      <c r="S44" s="16" t="n"/>
      <c r="T44" s="16" t="n"/>
      <c r="U44" s="19" t="n"/>
      <c r="V44" s="16" t="n"/>
      <c r="W44" s="16" t="n"/>
      <c r="X44" s="19" t="n"/>
      <c r="Y44" s="16" t="n"/>
      <c r="Z44" s="19" t="n"/>
      <c r="AA44" s="16" t="n"/>
      <c r="AB44" s="16" t="n"/>
      <c r="AC44" s="16" t="n"/>
      <c r="AD44" s="16" t="n"/>
      <c r="AE44" s="16" t="n"/>
      <c r="AF44" s="16" t="n"/>
      <c r="AG44" s="16" t="n"/>
      <c r="AH44" s="32" t="n"/>
      <c r="AI44" s="20" t="n"/>
    </row>
    <row r="45">
      <c r="M45" s="5" t="n"/>
      <c r="P45" s="5" t="n"/>
      <c r="Q45" s="5" t="n"/>
      <c r="U45" s="5" t="n"/>
      <c r="X45" s="5" t="n"/>
      <c r="Z45" s="5" t="n"/>
    </row>
    <row r="46">
      <c r="A46" s="33" t="inlineStr">
        <is>
          <t>TOTAL</t>
        </is>
      </c>
      <c r="B46" s="33" t="inlineStr">
        <is>
          <t>Whole project</t>
        </is>
      </c>
      <c r="C46" s="34" t="n"/>
      <c r="D46" s="35" t="n">
        <v>46282</v>
      </c>
      <c r="E46" s="35" t="n">
        <v>46331</v>
      </c>
      <c r="F46" s="34" t="n"/>
      <c r="G46" s="34" t="n"/>
      <c r="H46" s="33">
        <f>NETWORKDAYS(D46,E46,Holidays!$A$2:$A$1000)</f>
        <v/>
      </c>
      <c r="I46" s="34" t="n"/>
      <c r="J46" s="34" t="n"/>
      <c r="K46" s="34" t="n"/>
      <c r="L46" s="34" t="n"/>
      <c r="M46" s="36" t="n"/>
      <c r="N46" s="34" t="n"/>
      <c r="O46" s="34" t="n"/>
      <c r="P46" s="36" t="n"/>
      <c r="Q46" s="36" t="n"/>
      <c r="R46" s="34" t="n"/>
      <c r="S46" s="34" t="n"/>
      <c r="T46" s="34" t="n"/>
      <c r="U46" s="36" t="n"/>
      <c r="V46" s="34" t="n"/>
      <c r="W46" s="34" t="n"/>
      <c r="X46" s="36" t="n"/>
      <c r="Y46" s="34" t="n"/>
      <c r="Z46" s="36" t="n"/>
      <c r="AA46" s="34" t="n"/>
      <c r="AB46" s="34" t="n"/>
      <c r="AC46" s="34" t="n"/>
      <c r="AD46" s="34" t="n"/>
      <c r="AE46" s="34" t="n"/>
      <c r="AF46" s="34" t="n"/>
      <c r="AG46" s="34" t="n"/>
      <c r="AH46" s="34" t="n"/>
      <c r="AI46" s="34" t="n"/>
    </row>
  </sheetData>
  <mergeCells count="6">
    <mergeCell ref="J5:K5"/>
    <mergeCell ref="Q5:T5"/>
    <mergeCell ref="U5:Y5"/>
    <mergeCell ref="Z5:AD5"/>
    <mergeCell ref="L5:P5"/>
    <mergeCell ref="AE5:AH5"/>
  </mergeCells>
  <dataValidations count="1">
    <dataValidation sqref="I7:I46" showDropDown="0" showInputMessage="0" showErrorMessage="0" allowBlank="1" type="list">
      <formula1>"Completed,In progress,Pending,Backlog,Incident,Canceled"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14" customWidth="1" min="1" max="1"/>
  </cols>
  <sheetData>
    <row r="1">
      <c r="A1" s="1" t="inlineStr">
        <is>
          <t>Holiday date</t>
        </is>
      </c>
    </row>
    <row r="2">
      <c r="A2" s="2" t="n">
        <v>46276</v>
      </c>
    </row>
    <row r="3">
      <c r="A3" s="2" t="n">
        <v>46289</v>
      </c>
    </row>
    <row r="4">
      <c r="A4" s="2" t="n">
        <v>46307</v>
      </c>
    </row>
    <row r="5">
      <c r="A5" s="2" t="n">
        <v>46364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16.0300</AppVersion>
</Properties>
</file>

<file path=docProps/core.xml><?xml version="1.0" encoding="utf-8"?>
<cp:coreProperties xmlns:cp="http://schemas.openxmlformats.org/package/2006/metadata/core-properties">
  <dc:creator xmlns:dc="http://purl.org/dc/elements/1.1/"/>
  <dcterms:created xmlns:dcterms="http://purl.org/dc/terms/" xmlns:xsi="http://www.w3.org/2001/XMLSchema-instance" xsi:type="dcterms:W3CDTF">2026-10-08T13:25:42Z</dcterms:created>
  <dcterms:modified xmlns:dcterms="http://purl.org/dc/terms/" xmlns:xsi="http://www.w3.org/2001/XMLSchema-instance" xsi:type="dcterms:W3CDTF">2026-10-08T13:25:42Z</dcterms:modified>
</cp:coreProperties>
</file>